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" sheetId="1" r:id="rId4"/>
    <sheet state="visible" name="Zero-shot Classe" sheetId="2" r:id="rId5"/>
    <sheet state="visible" name="Zero-shot Classe e Tipo" sheetId="3" r:id="rId6"/>
    <sheet state="visible" name="One-shot" sheetId="4" r:id="rId7"/>
    <sheet state="visible" name="Chain-of-thought" sheetId="5" r:id="rId8"/>
  </sheets>
  <definedNames>
    <definedName hidden="1" localSheetId="0" name="_xlnm._FilterDatabase">Manual!$B$1:$H$451</definedName>
    <definedName hidden="1" localSheetId="1" name="_xlnm._FilterDatabase">'Zero-shot Classe'!$B$1:$G$1000</definedName>
    <definedName hidden="1" localSheetId="2" name="_xlnm._FilterDatabase">'Zero-shot Classe e Tipo'!$B$1:$H$1000</definedName>
    <definedName hidden="1" localSheetId="3" name="_xlnm._FilterDatabase">'One-shot'!$B$1:$H$451</definedName>
    <definedName hidden="1" localSheetId="4" name="_xlnm._FilterDatabase">'Chain-of-thought'!$B$1:$H$451</definedName>
  </definedNames>
  <calcPr/>
</workbook>
</file>

<file path=xl/sharedStrings.xml><?xml version="1.0" encoding="utf-8"?>
<sst xmlns="http://schemas.openxmlformats.org/spreadsheetml/2006/main" count="6349" uniqueCount="88">
  <si>
    <t>Ano da Prova</t>
  </si>
  <si>
    <t>Nível da Prova</t>
  </si>
  <si>
    <t>Fase da Prova</t>
  </si>
  <si>
    <t>Número da Questão</t>
  </si>
  <si>
    <t>Nome do Cenário</t>
  </si>
  <si>
    <t>Classe</t>
  </si>
  <si>
    <t>Tipo</t>
  </si>
  <si>
    <t>Senha do cofre</t>
  </si>
  <si>
    <t>Outros</t>
  </si>
  <si>
    <t>Definição</t>
  </si>
  <si>
    <t>Cifra de César</t>
  </si>
  <si>
    <t>Lâmpadas</t>
  </si>
  <si>
    <t>Cálculo</t>
  </si>
  <si>
    <t>Estoque</t>
  </si>
  <si>
    <t>Xadrez</t>
  </si>
  <si>
    <t>Senhor Toupeira</t>
  </si>
  <si>
    <t>Ordenação</t>
  </si>
  <si>
    <t>Circular</t>
  </si>
  <si>
    <t>Corrida</t>
  </si>
  <si>
    <t>Linear</t>
  </si>
  <si>
    <t>Satélites</t>
  </si>
  <si>
    <t>Álbum de fotografias</t>
  </si>
  <si>
    <t>Agrupamento</t>
  </si>
  <si>
    <t>1 Grupo</t>
  </si>
  <si>
    <t>Salas coloridas</t>
  </si>
  <si>
    <t>Grafos</t>
  </si>
  <si>
    <t>Independente</t>
  </si>
  <si>
    <t>Cubo preto</t>
  </si>
  <si>
    <t>Entrega de queijos</t>
  </si>
  <si>
    <t>Novo craque</t>
  </si>
  <si>
    <t>Bolo da Vó</t>
  </si>
  <si>
    <t>Whastapp</t>
  </si>
  <si>
    <t>Entrega de refrigerante</t>
  </si>
  <si>
    <t>Final de Semana Feliz</t>
  </si>
  <si>
    <t>Distância entre palavras</t>
  </si>
  <si>
    <t>Pilha de latas</t>
  </si>
  <si>
    <t>Eleição no Centro Acadêmico</t>
  </si>
  <si>
    <t>Quadros</t>
  </si>
  <si>
    <t>Quadrática</t>
  </si>
  <si>
    <t>Carros esportivos</t>
  </si>
  <si>
    <t>Lava-rápido</t>
  </si>
  <si>
    <t>Grupos Ordenados</t>
  </si>
  <si>
    <t>Aplicativo de navegação</t>
  </si>
  <si>
    <t>Torneio de tênis</t>
  </si>
  <si>
    <t>Aliança para exportação</t>
  </si>
  <si>
    <t>N-Grupos</t>
  </si>
  <si>
    <t>Competição de programação</t>
  </si>
  <si>
    <t>Bombons</t>
  </si>
  <si>
    <t>Casacos esquecidos</t>
  </si>
  <si>
    <t>Laboratório</t>
  </si>
  <si>
    <t>Senha</t>
  </si>
  <si>
    <t>Chocolate</t>
  </si>
  <si>
    <t>Sequência</t>
  </si>
  <si>
    <t>Tríades</t>
  </si>
  <si>
    <t>Padrão par ou ímpar</t>
  </si>
  <si>
    <t>Palavras</t>
  </si>
  <si>
    <t>Prova de Revezamento</t>
  </si>
  <si>
    <t>Competições</t>
  </si>
  <si>
    <t>Livre</t>
  </si>
  <si>
    <t>Bolinha</t>
  </si>
  <si>
    <t>Quadradônia</t>
  </si>
  <si>
    <t>Baralho</t>
  </si>
  <si>
    <t>Fita colorida</t>
  </si>
  <si>
    <t>Rede de supermercados</t>
  </si>
  <si>
    <t>Rotação</t>
  </si>
  <si>
    <t>Salto em altura</t>
  </si>
  <si>
    <t>Pares</t>
  </si>
  <si>
    <t>Suba na árvore</t>
  </si>
  <si>
    <t>Duplas</t>
  </si>
  <si>
    <t>Maratona de Maratonas</t>
  </si>
  <si>
    <t>Doces</t>
  </si>
  <si>
    <t>Trio de palitinhos</t>
  </si>
  <si>
    <t>Ligue os números</t>
  </si>
  <si>
    <t>Sorvete</t>
  </si>
  <si>
    <t>Muro</t>
  </si>
  <si>
    <t>Entregas</t>
  </si>
  <si>
    <t>Show</t>
  </si>
  <si>
    <t>Praça de Alimentação</t>
  </si>
  <si>
    <t>Quadrado</t>
  </si>
  <si>
    <t>Concatena dígitos</t>
  </si>
  <si>
    <t>Quarto de hotel</t>
  </si>
  <si>
    <t>Acertos:</t>
  </si>
  <si>
    <t>Erros:</t>
  </si>
  <si>
    <t>Total:</t>
  </si>
  <si>
    <t>Acertos Parciais:</t>
  </si>
  <si>
    <t>1 grupo</t>
  </si>
  <si>
    <t>1-Grupo</t>
  </si>
  <si>
    <t>Outro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</si>
</sst>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1" numFmtId="10" xfId="0" applyAlignment="1" applyBorder="1" applyFont="1" applyNumberFormat="1">
      <alignment horizontal="right" vertical="bottom"/>
    </xf>
    <xf borderId="2" fillId="3" fontId="1" numFmtId="0" xfId="0" applyAlignment="1" applyBorder="1" applyFill="1" applyFont="1">
      <alignment horizontal="right" vertical="bottom"/>
    </xf>
    <xf borderId="2" fillId="0" fontId="1" numFmtId="0" xfId="0" applyAlignment="1" applyBorder="1" applyFont="1">
      <alignment readingOrder="0" vertical="bottom"/>
    </xf>
    <xf borderId="2" fillId="0" fontId="1" numFmtId="10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3" fillId="0" fontId="1" numFmtId="10" xfId="0" applyAlignment="1" applyBorder="1" applyFont="1" applyNumberFormat="1">
      <alignment horizontal="right" vertical="bottom"/>
    </xf>
    <xf borderId="0" fillId="3" fontId="2" numFmtId="0" xfId="0" applyAlignment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4" fillId="4" fontId="1" numFmtId="0" xfId="0" applyAlignment="1" applyBorder="1" applyFill="1" applyFont="1">
      <alignment horizontal="right" vertical="bottom"/>
    </xf>
    <xf borderId="4" fillId="0" fontId="1" numFmtId="0" xfId="0" applyAlignment="1" applyBorder="1" applyFont="1">
      <alignment readingOrder="0" vertical="bottom"/>
    </xf>
    <xf borderId="0" fillId="4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min="16" max="16" width="18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2" t="s">
        <v>8</v>
      </c>
      <c r="H2" s="2" t="s">
        <v>9</v>
      </c>
      <c r="P2" s="3" t="str">
        <f t="shared" ref="P2:P451" si="1">$G2&amp;" "&amp;$H2</f>
        <v>Outros Definição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2" t="s">
        <v>8</v>
      </c>
      <c r="H3" s="2" t="s">
        <v>9</v>
      </c>
      <c r="P3" s="3" t="str">
        <f t="shared" si="1"/>
        <v>Outros Definição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2" t="s">
        <v>8</v>
      </c>
      <c r="H4" s="2" t="s">
        <v>12</v>
      </c>
      <c r="P4" s="3" t="str">
        <f t="shared" si="1"/>
        <v>Outros Cálculo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" t="s">
        <v>8</v>
      </c>
      <c r="H5" s="2" t="s">
        <v>12</v>
      </c>
      <c r="P5" s="3" t="str">
        <f t="shared" si="1"/>
        <v>Outros Cálculo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" t="s">
        <v>8</v>
      </c>
      <c r="H6" s="2" t="s">
        <v>12</v>
      </c>
      <c r="P6" s="3" t="str">
        <f t="shared" si="1"/>
        <v>Outros Cálculo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2" t="s">
        <v>8</v>
      </c>
      <c r="H7" s="2" t="s">
        <v>12</v>
      </c>
      <c r="P7" s="3" t="str">
        <f t="shared" si="1"/>
        <v>Outros Cálculo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2" t="s">
        <v>16</v>
      </c>
      <c r="H8" s="2" t="s">
        <v>17</v>
      </c>
      <c r="P8" s="3" t="str">
        <f t="shared" si="1"/>
        <v>Ordenação Circular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" t="s">
        <v>16</v>
      </c>
      <c r="H9" s="2" t="s">
        <v>17</v>
      </c>
      <c r="P9" s="3" t="str">
        <f t="shared" si="1"/>
        <v>Ordenação Circular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" t="s">
        <v>16</v>
      </c>
      <c r="H10" s="2" t="s">
        <v>17</v>
      </c>
      <c r="P10" s="3" t="str">
        <f t="shared" si="1"/>
        <v>Ordenação Circular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2" t="s">
        <v>16</v>
      </c>
      <c r="H11" s="2" t="s">
        <v>17</v>
      </c>
      <c r="P11" s="3" t="str">
        <f t="shared" si="1"/>
        <v>Ordenação Circular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2" t="s">
        <v>16</v>
      </c>
      <c r="H12" s="2" t="s">
        <v>19</v>
      </c>
      <c r="P12" s="3" t="str">
        <f t="shared" si="1"/>
        <v>Ordenação Linear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2" t="s">
        <v>16</v>
      </c>
      <c r="H13" s="2" t="s">
        <v>19</v>
      </c>
      <c r="P13" s="3" t="str">
        <f t="shared" si="1"/>
        <v>Ordenação Linear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2" t="s">
        <v>16</v>
      </c>
      <c r="H14" s="2" t="s">
        <v>19</v>
      </c>
      <c r="P14" s="3" t="str">
        <f t="shared" si="1"/>
        <v>Ordenação Linear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2" t="s">
        <v>16</v>
      </c>
      <c r="H15" s="2" t="s">
        <v>19</v>
      </c>
      <c r="P15" s="3" t="str">
        <f t="shared" si="1"/>
        <v>Ordenação Linear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2" t="s">
        <v>16</v>
      </c>
      <c r="H16" s="2" t="s">
        <v>19</v>
      </c>
      <c r="P16" s="3" t="str">
        <f t="shared" si="1"/>
        <v>Ordenação Linear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2" t="s">
        <v>8</v>
      </c>
      <c r="H17" s="2" t="s">
        <v>12</v>
      </c>
      <c r="P17" s="3" t="str">
        <f t="shared" si="1"/>
        <v>Outros Cálculo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2" t="s">
        <v>16</v>
      </c>
      <c r="H18" s="2" t="s">
        <v>17</v>
      </c>
      <c r="P18" s="3" t="str">
        <f t="shared" si="1"/>
        <v>Ordenação Circular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" t="s">
        <v>16</v>
      </c>
      <c r="H19" s="2" t="s">
        <v>17</v>
      </c>
      <c r="P19" s="3" t="str">
        <f t="shared" si="1"/>
        <v>Ordenação Circular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" t="s">
        <v>16</v>
      </c>
      <c r="H20" s="2" t="s">
        <v>17</v>
      </c>
      <c r="P20" s="3" t="str">
        <f t="shared" si="1"/>
        <v>Ordenação Circular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2" t="s">
        <v>16</v>
      </c>
      <c r="H21" s="2" t="s">
        <v>17</v>
      </c>
      <c r="P21" s="3" t="str">
        <f t="shared" si="1"/>
        <v>Ordenação Circular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2" t="s">
        <v>16</v>
      </c>
      <c r="H22" s="2" t="s">
        <v>19</v>
      </c>
      <c r="P22" s="3" t="str">
        <f t="shared" si="1"/>
        <v>Ordenação Linear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2" t="s">
        <v>16</v>
      </c>
      <c r="H23" s="2" t="s">
        <v>19</v>
      </c>
      <c r="P23" s="3" t="str">
        <f t="shared" si="1"/>
        <v>Ordenação Linear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2" t="s">
        <v>16</v>
      </c>
      <c r="H24" s="2" t="s">
        <v>19</v>
      </c>
      <c r="P24" s="3" t="str">
        <f t="shared" si="1"/>
        <v>Ordenação Linear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2" t="s">
        <v>16</v>
      </c>
      <c r="H25" s="2" t="s">
        <v>19</v>
      </c>
      <c r="P25" s="3" t="str">
        <f t="shared" si="1"/>
        <v>Ordenação Linear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2" t="s">
        <v>16</v>
      </c>
      <c r="H26" s="2" t="s">
        <v>19</v>
      </c>
      <c r="P26" s="3" t="str">
        <f t="shared" si="1"/>
        <v>Ordenação Linear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2" t="s">
        <v>8</v>
      </c>
      <c r="H27" s="2" t="s">
        <v>9</v>
      </c>
      <c r="P27" s="3" t="str">
        <f t="shared" si="1"/>
        <v>Outros Definição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2" t="s">
        <v>22</v>
      </c>
      <c r="H28" s="2" t="s">
        <v>23</v>
      </c>
      <c r="P28" s="3" t="str">
        <f t="shared" si="1"/>
        <v>Agrupamento 1 Grupo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2" t="s">
        <v>22</v>
      </c>
      <c r="H29" s="2" t="s">
        <v>23</v>
      </c>
      <c r="P29" s="3" t="str">
        <f t="shared" si="1"/>
        <v>Agrupamento 1 Grupo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2" t="s">
        <v>22</v>
      </c>
      <c r="H30" s="2" t="s">
        <v>23</v>
      </c>
      <c r="P30" s="3" t="str">
        <f t="shared" si="1"/>
        <v>Agrupamento 1 Grupo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2" t="s">
        <v>22</v>
      </c>
      <c r="H31" s="2" t="s">
        <v>23</v>
      </c>
      <c r="P31" s="3" t="str">
        <f t="shared" si="1"/>
        <v>Agrupamento 1 Grupo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2" t="s">
        <v>8</v>
      </c>
      <c r="H32" s="2" t="s">
        <v>12</v>
      </c>
      <c r="P32" s="3" t="str">
        <f t="shared" si="1"/>
        <v>Outros Cálculo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2" t="s">
        <v>8</v>
      </c>
      <c r="H33" s="2" t="s">
        <v>9</v>
      </c>
      <c r="P33" s="3" t="str">
        <f t="shared" si="1"/>
        <v>Outros Definição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" t="s">
        <v>8</v>
      </c>
      <c r="H34" s="2" t="s">
        <v>12</v>
      </c>
      <c r="P34" s="3" t="str">
        <f t="shared" si="1"/>
        <v>Outros Cálculo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" t="s">
        <v>8</v>
      </c>
      <c r="H35" s="2" t="s">
        <v>12</v>
      </c>
      <c r="P35" s="3" t="str">
        <f t="shared" si="1"/>
        <v>Outros Cálculo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2" t="s">
        <v>16</v>
      </c>
      <c r="H36" s="2" t="s">
        <v>19</v>
      </c>
      <c r="P36" s="3" t="str">
        <f t="shared" si="1"/>
        <v>Ordenação Linear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2" t="s">
        <v>16</v>
      </c>
      <c r="H37" s="2" t="s">
        <v>19</v>
      </c>
      <c r="P37" s="3" t="str">
        <f t="shared" si="1"/>
        <v>Ordenação Linear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2" t="s">
        <v>22</v>
      </c>
      <c r="H38" s="2" t="s">
        <v>23</v>
      </c>
      <c r="P38" s="3" t="str">
        <f t="shared" si="1"/>
        <v>Agrupamento 1 Grupo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2" t="s">
        <v>22</v>
      </c>
      <c r="H39" s="2" t="s">
        <v>23</v>
      </c>
      <c r="P39" s="3" t="str">
        <f t="shared" si="1"/>
        <v>Agrupamento 1 Grupo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2" t="s">
        <v>22</v>
      </c>
      <c r="H40" s="2" t="s">
        <v>23</v>
      </c>
      <c r="P40" s="3" t="str">
        <f t="shared" si="1"/>
        <v>Agrupamento 1 Grupo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2" t="s">
        <v>22</v>
      </c>
      <c r="H41" s="2" t="s">
        <v>23</v>
      </c>
      <c r="P41" s="3" t="str">
        <f t="shared" si="1"/>
        <v>Agrupamento 1 Grupo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" t="s">
        <v>8</v>
      </c>
      <c r="H42" s="2" t="s">
        <v>9</v>
      </c>
      <c r="P42" s="3" t="str">
        <f t="shared" si="1"/>
        <v>Outros Definição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" t="s">
        <v>8</v>
      </c>
      <c r="H43" s="2" t="s">
        <v>9</v>
      </c>
      <c r="P43" s="3" t="str">
        <f t="shared" si="1"/>
        <v>Outros Definição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" t="s">
        <v>8</v>
      </c>
      <c r="H44" s="2" t="s">
        <v>9</v>
      </c>
      <c r="P44" s="3" t="str">
        <f t="shared" si="1"/>
        <v>Outros Definição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" t="s">
        <v>8</v>
      </c>
      <c r="H45" s="2" t="s">
        <v>9</v>
      </c>
      <c r="P45" s="3" t="str">
        <f t="shared" si="1"/>
        <v>Outros Definição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" t="s">
        <v>8</v>
      </c>
      <c r="H46" s="2" t="s">
        <v>9</v>
      </c>
      <c r="P46" s="3" t="str">
        <f t="shared" si="1"/>
        <v>Outros Definição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2" t="s">
        <v>8</v>
      </c>
      <c r="H47" s="2" t="s">
        <v>12</v>
      </c>
      <c r="P47" s="3" t="str">
        <f t="shared" si="1"/>
        <v>Outros Cálculo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2" t="s">
        <v>8</v>
      </c>
      <c r="H48" s="2" t="s">
        <v>12</v>
      </c>
      <c r="P48" s="3" t="str">
        <f t="shared" si="1"/>
        <v>Outros Cálculo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2" t="s">
        <v>8</v>
      </c>
      <c r="H49" s="2" t="s">
        <v>9</v>
      </c>
      <c r="P49" s="3" t="str">
        <f t="shared" si="1"/>
        <v>Outros Definição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" t="s">
        <v>8</v>
      </c>
      <c r="H50" s="2" t="s">
        <v>9</v>
      </c>
      <c r="P50" s="3" t="str">
        <f t="shared" si="1"/>
        <v>Outros Definição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2" t="s">
        <v>8</v>
      </c>
      <c r="H51" s="2" t="s">
        <v>12</v>
      </c>
      <c r="P51" s="3" t="str">
        <f t="shared" si="1"/>
        <v>Outros Cálculo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2" t="s">
        <v>8</v>
      </c>
      <c r="H52" s="2" t="s">
        <v>12</v>
      </c>
      <c r="P52" s="3" t="str">
        <f t="shared" si="1"/>
        <v>Outros Cálculo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2" t="s">
        <v>16</v>
      </c>
      <c r="H53" s="2" t="s">
        <v>19</v>
      </c>
      <c r="P53" s="3" t="str">
        <f t="shared" si="1"/>
        <v>Ordenação Linear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2" t="s">
        <v>16</v>
      </c>
      <c r="H54" s="2" t="s">
        <v>19</v>
      </c>
      <c r="P54" s="3" t="str">
        <f t="shared" si="1"/>
        <v>Ordenação Linear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2" t="s">
        <v>16</v>
      </c>
      <c r="H55" s="2" t="s">
        <v>19</v>
      </c>
      <c r="P55" s="3" t="str">
        <f t="shared" si="1"/>
        <v>Ordenação Linear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2" t="s">
        <v>16</v>
      </c>
      <c r="H56" s="2" t="s">
        <v>19</v>
      </c>
      <c r="P56" s="3" t="str">
        <f t="shared" si="1"/>
        <v>Ordenação Linear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2" t="s">
        <v>16</v>
      </c>
      <c r="H57" s="2" t="s">
        <v>19</v>
      </c>
      <c r="P57" s="3" t="str">
        <f t="shared" si="1"/>
        <v>Ordenação Linear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2" t="s">
        <v>16</v>
      </c>
      <c r="H58" s="2" t="s">
        <v>19</v>
      </c>
      <c r="P58" s="3" t="str">
        <f t="shared" si="1"/>
        <v>Ordenação Linear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2" t="s">
        <v>16</v>
      </c>
      <c r="H59" s="2" t="s">
        <v>19</v>
      </c>
      <c r="P59" s="3" t="str">
        <f t="shared" si="1"/>
        <v>Ordenação Linear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2" t="s">
        <v>16</v>
      </c>
      <c r="H60" s="2" t="s">
        <v>19</v>
      </c>
      <c r="P60" s="3" t="str">
        <f t="shared" si="1"/>
        <v>Ordenação Linear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2" t="s">
        <v>16</v>
      </c>
      <c r="H61" s="2" t="s">
        <v>19</v>
      </c>
      <c r="P61" s="3" t="str">
        <f t="shared" si="1"/>
        <v>Ordenação Linear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2" t="s">
        <v>16</v>
      </c>
      <c r="H62" s="2" t="s">
        <v>19</v>
      </c>
      <c r="P62" s="3" t="str">
        <f t="shared" si="1"/>
        <v>Ordenação Linear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2" t="s">
        <v>16</v>
      </c>
      <c r="H63" s="2" t="s">
        <v>19</v>
      </c>
      <c r="P63" s="3" t="str">
        <f t="shared" si="1"/>
        <v>Ordenação Linear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2" t="s">
        <v>16</v>
      </c>
      <c r="H64" s="2" t="s">
        <v>19</v>
      </c>
      <c r="P64" s="3" t="str">
        <f t="shared" si="1"/>
        <v>Ordenação Linear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2" t="s">
        <v>16</v>
      </c>
      <c r="H65" s="2" t="s">
        <v>19</v>
      </c>
      <c r="P65" s="3" t="str">
        <f t="shared" si="1"/>
        <v>Ordenação Linear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2" t="s">
        <v>16</v>
      </c>
      <c r="H66" s="2" t="s">
        <v>19</v>
      </c>
      <c r="P66" s="3" t="str">
        <f t="shared" si="1"/>
        <v>Ordenação Linear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2" t="s">
        <v>8</v>
      </c>
      <c r="H67" s="2" t="s">
        <v>12</v>
      </c>
      <c r="P67" s="3" t="str">
        <f t="shared" si="1"/>
        <v>Outros Cálculo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2" t="s">
        <v>8</v>
      </c>
      <c r="H68" s="2" t="s">
        <v>12</v>
      </c>
      <c r="P68" s="3" t="str">
        <f t="shared" si="1"/>
        <v>Outros Cálculo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2" t="s">
        <v>8</v>
      </c>
      <c r="H69" s="2" t="s">
        <v>9</v>
      </c>
      <c r="P69" s="3" t="str">
        <f t="shared" si="1"/>
        <v>Outros Definição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" t="s">
        <v>8</v>
      </c>
      <c r="H70" s="2" t="s">
        <v>9</v>
      </c>
      <c r="P70" s="3" t="str">
        <f t="shared" si="1"/>
        <v>Outros Definição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2" t="s">
        <v>8</v>
      </c>
      <c r="H71" s="2" t="s">
        <v>12</v>
      </c>
      <c r="P71" s="3" t="str">
        <f t="shared" si="1"/>
        <v>Outros Cálculo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2" t="s">
        <v>8</v>
      </c>
      <c r="H72" s="2" t="s">
        <v>12</v>
      </c>
      <c r="P72" s="3" t="str">
        <f t="shared" si="1"/>
        <v>Outros Cálculo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2" t="s">
        <v>16</v>
      </c>
      <c r="H73" s="2" t="s">
        <v>19</v>
      </c>
      <c r="P73" s="3" t="str">
        <f t="shared" si="1"/>
        <v>Ordenação Linear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2" t="s">
        <v>16</v>
      </c>
      <c r="H74" s="2" t="s">
        <v>19</v>
      </c>
      <c r="P74" s="3" t="str">
        <f t="shared" si="1"/>
        <v>Ordenação Linear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2" t="s">
        <v>16</v>
      </c>
      <c r="H75" s="2" t="s">
        <v>19</v>
      </c>
      <c r="P75" s="3" t="str">
        <f t="shared" si="1"/>
        <v>Ordenação Linear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2" t="s">
        <v>16</v>
      </c>
      <c r="H76" s="2" t="s">
        <v>19</v>
      </c>
      <c r="P76" s="3" t="str">
        <f t="shared" si="1"/>
        <v>Ordenação Linear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2" t="s">
        <v>16</v>
      </c>
      <c r="H77" s="2" t="s">
        <v>19</v>
      </c>
      <c r="P77" s="3" t="str">
        <f t="shared" si="1"/>
        <v>Ordenação Linear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2" t="s">
        <v>16</v>
      </c>
      <c r="H78" s="2" t="s">
        <v>19</v>
      </c>
      <c r="P78" s="3" t="str">
        <f t="shared" si="1"/>
        <v>Ordenação Linear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2" t="s">
        <v>16</v>
      </c>
      <c r="H79" s="2" t="s">
        <v>19</v>
      </c>
      <c r="P79" s="3" t="str">
        <f t="shared" si="1"/>
        <v>Ordenação Linear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2" t="s">
        <v>16</v>
      </c>
      <c r="H80" s="2" t="s">
        <v>19</v>
      </c>
      <c r="P80" s="3" t="str">
        <f t="shared" si="1"/>
        <v>Ordenação Linear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2" t="s">
        <v>16</v>
      </c>
      <c r="H81" s="2" t="s">
        <v>19</v>
      </c>
      <c r="P81" s="3" t="str">
        <f t="shared" si="1"/>
        <v>Ordenação Linear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2" t="s">
        <v>16</v>
      </c>
      <c r="H82" s="2" t="s">
        <v>19</v>
      </c>
      <c r="P82" s="3" t="str">
        <f t="shared" si="1"/>
        <v>Ordenação Linear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2" t="s">
        <v>16</v>
      </c>
      <c r="H83" s="2" t="s">
        <v>19</v>
      </c>
      <c r="P83" s="3" t="str">
        <f t="shared" si="1"/>
        <v>Ordenação Linear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2" t="s">
        <v>16</v>
      </c>
      <c r="H84" s="2" t="s">
        <v>19</v>
      </c>
      <c r="P84" s="3" t="str">
        <f t="shared" si="1"/>
        <v>Ordenação Linear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2" t="s">
        <v>16</v>
      </c>
      <c r="H85" s="2" t="s">
        <v>19</v>
      </c>
      <c r="P85" s="3" t="str">
        <f t="shared" si="1"/>
        <v>Ordenação Linear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2" t="s">
        <v>16</v>
      </c>
      <c r="H86" s="2" t="s">
        <v>19</v>
      </c>
      <c r="P86" s="3" t="str">
        <f t="shared" si="1"/>
        <v>Ordenação Linear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2" t="s">
        <v>8</v>
      </c>
      <c r="H87" s="2" t="s">
        <v>12</v>
      </c>
      <c r="P87" s="3" t="str">
        <f t="shared" si="1"/>
        <v>Outros Cálculo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2" t="s">
        <v>8</v>
      </c>
      <c r="H88" s="2" t="s">
        <v>12</v>
      </c>
      <c r="P88" s="3" t="str">
        <f t="shared" si="1"/>
        <v>Outros Cálculo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2" t="s">
        <v>8</v>
      </c>
      <c r="H89" s="2" t="s">
        <v>9</v>
      </c>
      <c r="P89" s="3" t="str">
        <f t="shared" si="1"/>
        <v>Outros Definição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" t="s">
        <v>8</v>
      </c>
      <c r="H90" s="2" t="s">
        <v>9</v>
      </c>
      <c r="P90" s="3" t="str">
        <f t="shared" si="1"/>
        <v>Outros Definição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2" t="s">
        <v>16</v>
      </c>
      <c r="H91" s="2" t="s">
        <v>19</v>
      </c>
      <c r="P91" s="3" t="str">
        <f t="shared" si="1"/>
        <v>Ordenação Linear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2" t="s">
        <v>16</v>
      </c>
      <c r="H92" s="2" t="s">
        <v>19</v>
      </c>
      <c r="P92" s="3" t="str">
        <f t="shared" si="1"/>
        <v>Ordenação Linear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2" t="s">
        <v>16</v>
      </c>
      <c r="H93" s="2" t="s">
        <v>19</v>
      </c>
      <c r="P93" s="3" t="str">
        <f t="shared" si="1"/>
        <v>Ordenação Linear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2" t="s">
        <v>16</v>
      </c>
      <c r="H94" s="2" t="s">
        <v>19</v>
      </c>
      <c r="P94" s="3" t="str">
        <f t="shared" si="1"/>
        <v>Ordenação Linear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2" t="s">
        <v>16</v>
      </c>
      <c r="H95" s="2" t="s">
        <v>19</v>
      </c>
      <c r="P95" s="3" t="str">
        <f t="shared" si="1"/>
        <v>Ordenação Linear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2" t="s">
        <v>16</v>
      </c>
      <c r="H96" s="2" t="s">
        <v>19</v>
      </c>
      <c r="P96" s="3" t="str">
        <f t="shared" si="1"/>
        <v>Ordenação Linear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2" t="s">
        <v>16</v>
      </c>
      <c r="H97" s="2" t="s">
        <v>19</v>
      </c>
      <c r="P97" s="3" t="str">
        <f t="shared" si="1"/>
        <v>Ordenação Linear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2" t="s">
        <v>16</v>
      </c>
      <c r="H98" s="2" t="s">
        <v>19</v>
      </c>
      <c r="P98" s="3" t="str">
        <f t="shared" si="1"/>
        <v>Ordenação Linear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2" t="s">
        <v>16</v>
      </c>
      <c r="H99" s="2" t="s">
        <v>19</v>
      </c>
      <c r="P99" s="3" t="str">
        <f t="shared" si="1"/>
        <v>Ordenação Linear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2" t="s">
        <v>16</v>
      </c>
      <c r="H100" s="2" t="s">
        <v>19</v>
      </c>
      <c r="P100" s="3" t="str">
        <f t="shared" si="1"/>
        <v>Ordenação Linear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2" t="s">
        <v>16</v>
      </c>
      <c r="H101" s="2" t="s">
        <v>19</v>
      </c>
      <c r="P101" s="3" t="str">
        <f t="shared" si="1"/>
        <v>Ordenação Linear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2" t="s">
        <v>16</v>
      </c>
      <c r="H102" s="2" t="s">
        <v>19</v>
      </c>
      <c r="P102" s="3" t="str">
        <f t="shared" si="1"/>
        <v>Ordenação Linear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2" t="s">
        <v>16</v>
      </c>
      <c r="H103" s="2" t="s">
        <v>19</v>
      </c>
      <c r="P103" s="3" t="str">
        <f t="shared" si="1"/>
        <v>Ordenação Linear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2" t="s">
        <v>16</v>
      </c>
      <c r="H104" s="2" t="s">
        <v>19</v>
      </c>
      <c r="P104" s="3" t="str">
        <f t="shared" si="1"/>
        <v>Ordenação Linear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2" t="s">
        <v>16</v>
      </c>
      <c r="H105" s="2" t="s">
        <v>19</v>
      </c>
      <c r="P105" s="3" t="str">
        <f t="shared" si="1"/>
        <v>Ordenação Linear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2" t="s">
        <v>16</v>
      </c>
      <c r="H106" s="2" t="s">
        <v>19</v>
      </c>
      <c r="P106" s="3" t="str">
        <f t="shared" si="1"/>
        <v>Ordenação Linear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2" t="s">
        <v>8</v>
      </c>
      <c r="H107" s="2" t="s">
        <v>12</v>
      </c>
      <c r="P107" s="3" t="str">
        <f t="shared" si="1"/>
        <v>Outros Cálculo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2" t="s">
        <v>8</v>
      </c>
      <c r="H108" s="2" t="s">
        <v>12</v>
      </c>
      <c r="P108" s="3" t="str">
        <f t="shared" si="1"/>
        <v>Outros Cálculo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2" t="s">
        <v>8</v>
      </c>
      <c r="H109" s="2" t="s">
        <v>12</v>
      </c>
      <c r="P109" s="3" t="str">
        <f t="shared" si="1"/>
        <v>Outros Cálculo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2" t="s">
        <v>8</v>
      </c>
      <c r="H110" s="2" t="s">
        <v>12</v>
      </c>
      <c r="P110" s="3" t="str">
        <f t="shared" si="1"/>
        <v>Outros Cálculo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2" t="s">
        <v>8</v>
      </c>
      <c r="H111" s="2" t="s">
        <v>12</v>
      </c>
      <c r="P111" s="3" t="str">
        <f t="shared" si="1"/>
        <v>Outros Cálculo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2" t="s">
        <v>8</v>
      </c>
      <c r="H112" s="2" t="s">
        <v>9</v>
      </c>
      <c r="P112" s="3" t="str">
        <f t="shared" si="1"/>
        <v>Outros Definição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2" t="s">
        <v>8</v>
      </c>
      <c r="H113" s="2" t="s">
        <v>9</v>
      </c>
      <c r="P113" s="3" t="str">
        <f t="shared" si="1"/>
        <v>Outros Definição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2" t="s">
        <v>8</v>
      </c>
      <c r="H114" s="2" t="s">
        <v>12</v>
      </c>
      <c r="P114" s="3" t="str">
        <f t="shared" si="1"/>
        <v>Outros Cálculo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2" t="s">
        <v>8</v>
      </c>
      <c r="H115" s="2" t="s">
        <v>12</v>
      </c>
      <c r="P115" s="3" t="str">
        <f t="shared" si="1"/>
        <v>Outros Cálculo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2" t="s">
        <v>8</v>
      </c>
      <c r="H116" s="2" t="s">
        <v>12</v>
      </c>
      <c r="P116" s="3" t="str">
        <f t="shared" si="1"/>
        <v>Outros Cálculo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2" t="s">
        <v>16</v>
      </c>
      <c r="H117" s="2" t="s">
        <v>19</v>
      </c>
      <c r="P117" s="3" t="str">
        <f t="shared" si="1"/>
        <v>Ordenação Linear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2" t="s">
        <v>16</v>
      </c>
      <c r="H118" s="2" t="s">
        <v>19</v>
      </c>
      <c r="P118" s="3" t="str">
        <f t="shared" si="1"/>
        <v>Ordenação Linear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2" t="s">
        <v>16</v>
      </c>
      <c r="H119" s="2" t="s">
        <v>19</v>
      </c>
      <c r="P119" s="3" t="str">
        <f t="shared" si="1"/>
        <v>Ordenação Linear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2" t="s">
        <v>16</v>
      </c>
      <c r="H120" s="2" t="s">
        <v>19</v>
      </c>
      <c r="P120" s="3" t="str">
        <f t="shared" si="1"/>
        <v>Ordenação Linear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2" t="s">
        <v>16</v>
      </c>
      <c r="H121" s="2" t="s">
        <v>19</v>
      </c>
      <c r="P121" s="3" t="str">
        <f t="shared" si="1"/>
        <v>Ordenação Linear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2" t="s">
        <v>16</v>
      </c>
      <c r="H122" s="2" t="s">
        <v>38</v>
      </c>
      <c r="P122" s="3" t="str">
        <f t="shared" si="1"/>
        <v>Ordenação Quadrática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2" t="s">
        <v>16</v>
      </c>
      <c r="H123" s="2" t="s">
        <v>38</v>
      </c>
      <c r="P123" s="3" t="str">
        <f t="shared" si="1"/>
        <v>Ordenação Quadrática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2" t="s">
        <v>16</v>
      </c>
      <c r="H124" s="2" t="s">
        <v>38</v>
      </c>
      <c r="P124" s="3" t="str">
        <f t="shared" si="1"/>
        <v>Ordenação Quadrática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2" t="s">
        <v>16</v>
      </c>
      <c r="H125" s="2" t="s">
        <v>38</v>
      </c>
      <c r="P125" s="3" t="str">
        <f t="shared" si="1"/>
        <v>Ordenação Quadrática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2" t="s">
        <v>16</v>
      </c>
      <c r="H126" s="2" t="s">
        <v>38</v>
      </c>
      <c r="P126" s="3" t="str">
        <f t="shared" si="1"/>
        <v>Ordenação Quadrática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2" t="s">
        <v>16</v>
      </c>
      <c r="H127" s="2" t="s">
        <v>19</v>
      </c>
      <c r="P127" s="3" t="str">
        <f t="shared" si="1"/>
        <v>Ordenação Linear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2" t="s">
        <v>16</v>
      </c>
      <c r="H128" s="2" t="s">
        <v>19</v>
      </c>
      <c r="P128" s="3" t="str">
        <f t="shared" si="1"/>
        <v>Ordenação Linear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2" t="s">
        <v>16</v>
      </c>
      <c r="H129" s="2" t="s">
        <v>19</v>
      </c>
      <c r="P129" s="3" t="str">
        <f t="shared" si="1"/>
        <v>Ordenação Linear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2" t="s">
        <v>16</v>
      </c>
      <c r="H130" s="2" t="s">
        <v>19</v>
      </c>
      <c r="P130" s="3" t="str">
        <f t="shared" si="1"/>
        <v>Ordenação Linear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2" t="s">
        <v>16</v>
      </c>
      <c r="H131" s="2" t="s">
        <v>19</v>
      </c>
      <c r="P131" s="3" t="str">
        <f t="shared" si="1"/>
        <v>Ordenação Linear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" t="s">
        <v>8</v>
      </c>
      <c r="H132" s="2" t="s">
        <v>41</v>
      </c>
      <c r="P132" s="3" t="str">
        <f t="shared" si="1"/>
        <v>Outros Grupos Ordenados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" t="s">
        <v>8</v>
      </c>
      <c r="H133" s="2" t="s">
        <v>41</v>
      </c>
      <c r="P133" s="3" t="str">
        <f t="shared" si="1"/>
        <v>Outros Grupos Ordenados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" t="s">
        <v>8</v>
      </c>
      <c r="H134" s="2" t="s">
        <v>41</v>
      </c>
      <c r="P134" s="3" t="str">
        <f t="shared" si="1"/>
        <v>Outros Grupos Ordenados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" t="s">
        <v>8</v>
      </c>
      <c r="H135" s="2" t="s">
        <v>41</v>
      </c>
      <c r="P135" s="3" t="str">
        <f t="shared" si="1"/>
        <v>Outros Grupos Ordenados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" t="s">
        <v>8</v>
      </c>
      <c r="H136" s="2" t="s">
        <v>41</v>
      </c>
      <c r="P136" s="3" t="str">
        <f t="shared" si="1"/>
        <v>Outros Grupos Ordenados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2" t="s">
        <v>8</v>
      </c>
      <c r="H137" s="2" t="s">
        <v>9</v>
      </c>
      <c r="P137" s="3" t="str">
        <f t="shared" si="1"/>
        <v>Outros Definição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2" t="s">
        <v>8</v>
      </c>
      <c r="H138" s="2" t="s">
        <v>9</v>
      </c>
      <c r="P138" s="3" t="str">
        <f t="shared" si="1"/>
        <v>Outros Definição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2" t="s">
        <v>8</v>
      </c>
      <c r="H139" s="2" t="s">
        <v>12</v>
      </c>
      <c r="P139" s="3" t="str">
        <f t="shared" si="1"/>
        <v>Outros Cálculo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2" t="s">
        <v>8</v>
      </c>
      <c r="H140" s="2" t="s">
        <v>12</v>
      </c>
      <c r="P140" s="3" t="str">
        <f t="shared" si="1"/>
        <v>Outros Cálculo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2" t="s">
        <v>8</v>
      </c>
      <c r="H141" s="2" t="s">
        <v>12</v>
      </c>
      <c r="P141" s="3" t="str">
        <f t="shared" si="1"/>
        <v>Outros Cálculo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2" t="s">
        <v>16</v>
      </c>
      <c r="H142" s="2" t="s">
        <v>19</v>
      </c>
      <c r="P142" s="3" t="str">
        <f t="shared" si="1"/>
        <v>Ordenação Linear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2" t="s">
        <v>16</v>
      </c>
      <c r="H143" s="2" t="s">
        <v>19</v>
      </c>
      <c r="P143" s="3" t="str">
        <f t="shared" si="1"/>
        <v>Ordenação Linear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2" t="s">
        <v>16</v>
      </c>
      <c r="H144" s="2" t="s">
        <v>19</v>
      </c>
      <c r="P144" s="3" t="str">
        <f t="shared" si="1"/>
        <v>Ordenação Linear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2" t="s">
        <v>16</v>
      </c>
      <c r="H145" s="2" t="s">
        <v>19</v>
      </c>
      <c r="P145" s="3" t="str">
        <f t="shared" si="1"/>
        <v>Ordenação Linear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2" t="s">
        <v>16</v>
      </c>
      <c r="H146" s="2" t="s">
        <v>19</v>
      </c>
      <c r="P146" s="3" t="str">
        <f t="shared" si="1"/>
        <v>Ordenação Linear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" t="s">
        <v>8</v>
      </c>
      <c r="H147" s="2" t="s">
        <v>41</v>
      </c>
      <c r="P147" s="3" t="str">
        <f t="shared" si="1"/>
        <v>Outros Grupos Ordenados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" t="s">
        <v>8</v>
      </c>
      <c r="H148" s="2" t="s">
        <v>41</v>
      </c>
      <c r="P148" s="3" t="str">
        <f t="shared" si="1"/>
        <v>Outros Grupos Ordenados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" t="s">
        <v>8</v>
      </c>
      <c r="H149" s="2" t="s">
        <v>41</v>
      </c>
      <c r="P149" s="3" t="str">
        <f t="shared" si="1"/>
        <v>Outros Grupos Ordenados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" t="s">
        <v>8</v>
      </c>
      <c r="H150" s="2" t="s">
        <v>41</v>
      </c>
      <c r="P150" s="3" t="str">
        <f t="shared" si="1"/>
        <v>Outros Grupos Ordenados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2" t="s">
        <v>8</v>
      </c>
      <c r="H151" s="2" t="s">
        <v>41</v>
      </c>
      <c r="P151" s="3" t="str">
        <f t="shared" si="1"/>
        <v>Outros Grupos Ordenados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2" t="s">
        <v>16</v>
      </c>
      <c r="H152" s="2" t="s">
        <v>38</v>
      </c>
      <c r="P152" s="3" t="str">
        <f t="shared" si="1"/>
        <v>Ordenação Quadrática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2" t="s">
        <v>16</v>
      </c>
      <c r="H153" s="2" t="s">
        <v>38</v>
      </c>
      <c r="P153" s="3" t="str">
        <f t="shared" si="1"/>
        <v>Ordenação Quadrática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2" t="s">
        <v>16</v>
      </c>
      <c r="H154" s="2" t="s">
        <v>38</v>
      </c>
      <c r="P154" s="3" t="str">
        <f t="shared" si="1"/>
        <v>Ordenação Quadrática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2" t="s">
        <v>16</v>
      </c>
      <c r="H155" s="2" t="s">
        <v>38</v>
      </c>
      <c r="P155" s="3" t="str">
        <f t="shared" si="1"/>
        <v>Ordenação Quadrática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2" t="s">
        <v>16</v>
      </c>
      <c r="H156" s="2" t="s">
        <v>38</v>
      </c>
      <c r="P156" s="3" t="str">
        <f t="shared" si="1"/>
        <v>Ordenação Quadrática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2" t="s">
        <v>16</v>
      </c>
      <c r="H157" s="2" t="s">
        <v>19</v>
      </c>
      <c r="P157" s="3" t="str">
        <f t="shared" si="1"/>
        <v>Ordenação Linear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2" t="s">
        <v>16</v>
      </c>
      <c r="H158" s="2" t="s">
        <v>19</v>
      </c>
      <c r="P158" s="3" t="str">
        <f t="shared" si="1"/>
        <v>Ordenação Linear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2" t="s">
        <v>16</v>
      </c>
      <c r="H159" s="2" t="s">
        <v>19</v>
      </c>
      <c r="P159" s="3" t="str">
        <f t="shared" si="1"/>
        <v>Ordenação Linear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2" t="s">
        <v>16</v>
      </c>
      <c r="H160" s="2" t="s">
        <v>19</v>
      </c>
      <c r="P160" s="3" t="str">
        <f t="shared" si="1"/>
        <v>Ordenação Linear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2" t="s">
        <v>16</v>
      </c>
      <c r="H161" s="2" t="s">
        <v>19</v>
      </c>
      <c r="P161" s="3" t="str">
        <f t="shared" si="1"/>
        <v>Ordenação Linear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2" t="s">
        <v>22</v>
      </c>
      <c r="H162" s="2" t="s">
        <v>45</v>
      </c>
      <c r="P162" s="3" t="str">
        <f t="shared" si="1"/>
        <v>Agrupamento N-Grupos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2" t="s">
        <v>22</v>
      </c>
      <c r="H163" s="2" t="s">
        <v>45</v>
      </c>
      <c r="P163" s="3" t="str">
        <f t="shared" si="1"/>
        <v>Agrupamento N-Grupos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2" t="s">
        <v>22</v>
      </c>
      <c r="H164" s="2" t="s">
        <v>45</v>
      </c>
      <c r="P164" s="3" t="str">
        <f t="shared" si="1"/>
        <v>Agrupamento N-Grupos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2" t="s">
        <v>22</v>
      </c>
      <c r="H165" s="2" t="s">
        <v>45</v>
      </c>
      <c r="P165" s="3" t="str">
        <f t="shared" si="1"/>
        <v>Agrupamento N-Grupos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2" t="s">
        <v>22</v>
      </c>
      <c r="H166" s="2" t="s">
        <v>45</v>
      </c>
      <c r="P166" s="3" t="str">
        <f t="shared" si="1"/>
        <v>Agrupamento N-Grupos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2" t="s">
        <v>16</v>
      </c>
      <c r="H167" s="2" t="s">
        <v>19</v>
      </c>
      <c r="P167" s="3" t="str">
        <f t="shared" si="1"/>
        <v>Ordenação Linear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2" t="s">
        <v>16</v>
      </c>
      <c r="H168" s="2" t="s">
        <v>19</v>
      </c>
      <c r="P168" s="3" t="str">
        <f t="shared" si="1"/>
        <v>Ordenação Linear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2" t="s">
        <v>16</v>
      </c>
      <c r="H169" s="2" t="s">
        <v>19</v>
      </c>
      <c r="P169" s="3" t="str">
        <f t="shared" si="1"/>
        <v>Ordenação Linear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2" t="s">
        <v>16</v>
      </c>
      <c r="H170" s="2" t="s">
        <v>19</v>
      </c>
      <c r="P170" s="3" t="str">
        <f t="shared" si="1"/>
        <v>Ordenação Linear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2" t="s">
        <v>16</v>
      </c>
      <c r="H171" s="2" t="s">
        <v>19</v>
      </c>
      <c r="P171" s="3" t="str">
        <f t="shared" si="1"/>
        <v>Ordenação Linear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2" t="s">
        <v>8</v>
      </c>
      <c r="H172" s="2" t="s">
        <v>41</v>
      </c>
      <c r="P172" s="3" t="str">
        <f t="shared" si="1"/>
        <v>Outros Grupos Ordenados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" t="s">
        <v>8</v>
      </c>
      <c r="H173" s="2" t="s">
        <v>41</v>
      </c>
      <c r="P173" s="3" t="str">
        <f t="shared" si="1"/>
        <v>Outros Grupos Ordenados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" t="s">
        <v>8</v>
      </c>
      <c r="H174" s="2" t="s">
        <v>41</v>
      </c>
      <c r="P174" s="3" t="str">
        <f t="shared" si="1"/>
        <v>Outros Grupos Ordenados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" t="s">
        <v>8</v>
      </c>
      <c r="H175" s="2" t="s">
        <v>41</v>
      </c>
      <c r="P175" s="3" t="str">
        <f t="shared" si="1"/>
        <v>Outros Grupos Ordenados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" t="s">
        <v>8</v>
      </c>
      <c r="H176" s="2" t="s">
        <v>41</v>
      </c>
      <c r="P176" s="3" t="str">
        <f t="shared" si="1"/>
        <v>Outros Grupos Ordenados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2" t="s">
        <v>8</v>
      </c>
      <c r="H177" s="2" t="s">
        <v>12</v>
      </c>
      <c r="P177" s="3" t="str">
        <f t="shared" si="1"/>
        <v>Outros Cálculo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2" t="s">
        <v>8</v>
      </c>
      <c r="H178" s="2" t="s">
        <v>12</v>
      </c>
      <c r="P178" s="3" t="str">
        <f t="shared" si="1"/>
        <v>Outros Cálculo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2" t="s">
        <v>8</v>
      </c>
      <c r="H179" s="2" t="s">
        <v>12</v>
      </c>
      <c r="P179" s="3" t="str">
        <f t="shared" si="1"/>
        <v>Outros Cálculo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2" t="s">
        <v>8</v>
      </c>
      <c r="H180" s="2" t="s">
        <v>9</v>
      </c>
      <c r="P180" s="3" t="str">
        <f t="shared" si="1"/>
        <v>Outros Definição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2" t="s">
        <v>8</v>
      </c>
      <c r="H181" s="2" t="s">
        <v>9</v>
      </c>
      <c r="P181" s="3" t="str">
        <f t="shared" si="1"/>
        <v>Outros Definição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2" t="s">
        <v>8</v>
      </c>
      <c r="H182" s="2" t="s">
        <v>12</v>
      </c>
      <c r="P182" s="3" t="str">
        <f t="shared" si="1"/>
        <v>Outros Cálculo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2" t="s">
        <v>8</v>
      </c>
      <c r="H183" s="2" t="s">
        <v>12</v>
      </c>
      <c r="P183" s="3" t="str">
        <f t="shared" si="1"/>
        <v>Outros Cálculo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2" t="s">
        <v>8</v>
      </c>
      <c r="H184" s="2" t="s">
        <v>12</v>
      </c>
      <c r="P184" s="3" t="str">
        <f t="shared" si="1"/>
        <v>Outros Cálculo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2" t="s">
        <v>8</v>
      </c>
      <c r="H185" s="2" t="s">
        <v>12</v>
      </c>
      <c r="P185" s="3" t="str">
        <f t="shared" si="1"/>
        <v>Outros Cálculo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2" t="s">
        <v>8</v>
      </c>
      <c r="H186" s="2" t="s">
        <v>12</v>
      </c>
      <c r="P186" s="3" t="str">
        <f t="shared" si="1"/>
        <v>Outros Cálculo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2" t="s">
        <v>16</v>
      </c>
      <c r="H187" s="2" t="s">
        <v>19</v>
      </c>
      <c r="P187" s="3" t="str">
        <f t="shared" si="1"/>
        <v>Ordenação Linear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2" t="s">
        <v>16</v>
      </c>
      <c r="H188" s="2" t="s">
        <v>19</v>
      </c>
      <c r="P188" s="3" t="str">
        <f t="shared" si="1"/>
        <v>Ordenação Linear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2" t="s">
        <v>16</v>
      </c>
      <c r="H189" s="2" t="s">
        <v>19</v>
      </c>
      <c r="P189" s="3" t="str">
        <f t="shared" si="1"/>
        <v>Ordenação Linear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2" t="s">
        <v>16</v>
      </c>
      <c r="H190" s="2" t="s">
        <v>19</v>
      </c>
      <c r="P190" s="3" t="str">
        <f t="shared" si="1"/>
        <v>Ordenação Linear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2" t="s">
        <v>16</v>
      </c>
      <c r="H191" s="2" t="s">
        <v>19</v>
      </c>
      <c r="P191" s="3" t="str">
        <f t="shared" si="1"/>
        <v>Ordenação Linear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2" t="s">
        <v>16</v>
      </c>
      <c r="H192" s="2" t="s">
        <v>19</v>
      </c>
      <c r="P192" s="3" t="str">
        <f t="shared" si="1"/>
        <v>Ordenação Linear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2" t="s">
        <v>16</v>
      </c>
      <c r="H193" s="2" t="s">
        <v>19</v>
      </c>
      <c r="P193" s="3" t="str">
        <f t="shared" si="1"/>
        <v>Ordenação Linear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2" t="s">
        <v>16</v>
      </c>
      <c r="H194" s="2" t="s">
        <v>19</v>
      </c>
      <c r="P194" s="3" t="str">
        <f t="shared" si="1"/>
        <v>Ordenação Linear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2" t="s">
        <v>16</v>
      </c>
      <c r="H195" s="2" t="s">
        <v>19</v>
      </c>
      <c r="P195" s="3" t="str">
        <f t="shared" si="1"/>
        <v>Ordenação Linear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2" t="s">
        <v>16</v>
      </c>
      <c r="H196" s="2" t="s">
        <v>19</v>
      </c>
      <c r="P196" s="3" t="str">
        <f t="shared" si="1"/>
        <v>Ordenação Linear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2" t="s">
        <v>16</v>
      </c>
      <c r="H197" s="2" t="s">
        <v>19</v>
      </c>
      <c r="P197" s="3" t="str">
        <f t="shared" si="1"/>
        <v>Ordenação Linear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2" t="s">
        <v>16</v>
      </c>
      <c r="H198" s="2" t="s">
        <v>19</v>
      </c>
      <c r="P198" s="3" t="str">
        <f t="shared" si="1"/>
        <v>Ordenação Linear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2" t="s">
        <v>16</v>
      </c>
      <c r="H199" s="2" t="s">
        <v>19</v>
      </c>
      <c r="P199" s="3" t="str">
        <f t="shared" si="1"/>
        <v>Ordenação Linear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2" t="s">
        <v>16</v>
      </c>
      <c r="H200" s="2" t="s">
        <v>19</v>
      </c>
      <c r="P200" s="3" t="str">
        <f t="shared" si="1"/>
        <v>Ordenação Linear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2" t="s">
        <v>16</v>
      </c>
      <c r="H201" s="2" t="s">
        <v>19</v>
      </c>
      <c r="P201" s="3" t="str">
        <f t="shared" si="1"/>
        <v>Ordenação Linear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2" t="s">
        <v>16</v>
      </c>
      <c r="H202" s="2" t="s">
        <v>19</v>
      </c>
      <c r="P202" s="3" t="str">
        <f t="shared" si="1"/>
        <v>Ordenação Linear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2" t="s">
        <v>16</v>
      </c>
      <c r="H203" s="2" t="s">
        <v>19</v>
      </c>
      <c r="P203" s="3" t="str">
        <f t="shared" si="1"/>
        <v>Ordenação Linear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2" t="s">
        <v>16</v>
      </c>
      <c r="H204" s="2" t="s">
        <v>19</v>
      </c>
      <c r="P204" s="3" t="str">
        <f t="shared" si="1"/>
        <v>Ordenação Linear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2" t="s">
        <v>16</v>
      </c>
      <c r="H205" s="2" t="s">
        <v>19</v>
      </c>
      <c r="P205" s="3" t="str">
        <f t="shared" si="1"/>
        <v>Ordenação Linear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2" t="s">
        <v>16</v>
      </c>
      <c r="H206" s="2" t="s">
        <v>19</v>
      </c>
      <c r="P206" s="3" t="str">
        <f t="shared" si="1"/>
        <v>Ordenação Linear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2" t="s">
        <v>8</v>
      </c>
      <c r="H207" s="2" t="s">
        <v>41</v>
      </c>
      <c r="P207" s="3" t="str">
        <f t="shared" si="1"/>
        <v>Outros Grupos Ordenados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" t="s">
        <v>8</v>
      </c>
      <c r="H208" s="2" t="s">
        <v>41</v>
      </c>
      <c r="P208" s="3" t="str">
        <f t="shared" si="1"/>
        <v>Outros Grupos Ordenados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" t="s">
        <v>8</v>
      </c>
      <c r="H209" s="2" t="s">
        <v>41</v>
      </c>
      <c r="P209" s="3" t="str">
        <f t="shared" si="1"/>
        <v>Outros Grupos Ordenados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" t="s">
        <v>8</v>
      </c>
      <c r="H210" s="2" t="s">
        <v>41</v>
      </c>
      <c r="P210" s="3" t="str">
        <f t="shared" si="1"/>
        <v>Outros Grupos Ordenados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" t="s">
        <v>8</v>
      </c>
      <c r="H211" s="2" t="s">
        <v>41</v>
      </c>
      <c r="P211" s="3" t="str">
        <f t="shared" si="1"/>
        <v>Outros Grupos Ordenados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2" t="s">
        <v>22</v>
      </c>
      <c r="H212" s="2" t="s">
        <v>45</v>
      </c>
      <c r="P212" s="3" t="str">
        <f t="shared" si="1"/>
        <v>Agrupamento N-Grupos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2" t="s">
        <v>22</v>
      </c>
      <c r="H213" s="2" t="s">
        <v>45</v>
      </c>
      <c r="P213" s="3" t="str">
        <f t="shared" si="1"/>
        <v>Agrupamento N-Grupos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2" t="s">
        <v>22</v>
      </c>
      <c r="H214" s="2" t="s">
        <v>45</v>
      </c>
      <c r="P214" s="3" t="str">
        <f t="shared" si="1"/>
        <v>Agrupamento N-Grupos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2" t="s">
        <v>22</v>
      </c>
      <c r="H215" s="2" t="s">
        <v>45</v>
      </c>
      <c r="P215" s="3" t="str">
        <f t="shared" si="1"/>
        <v>Agrupamento N-Grupos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2" t="s">
        <v>22</v>
      </c>
      <c r="H216" s="2" t="s">
        <v>45</v>
      </c>
      <c r="P216" s="3" t="str">
        <f t="shared" si="1"/>
        <v>Agrupamento N-Grupos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2" t="s">
        <v>8</v>
      </c>
      <c r="H217" s="2" t="s">
        <v>41</v>
      </c>
      <c r="P217" s="3" t="str">
        <f t="shared" si="1"/>
        <v>Outros Grupos Ordenados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2" t="s">
        <v>8</v>
      </c>
      <c r="H218" s="2" t="s">
        <v>41</v>
      </c>
      <c r="P218" s="3" t="str">
        <f t="shared" si="1"/>
        <v>Outros Grupos Ordenados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2" t="s">
        <v>8</v>
      </c>
      <c r="H219" s="2" t="s">
        <v>41</v>
      </c>
      <c r="P219" s="3" t="str">
        <f t="shared" si="1"/>
        <v>Outros Grupos Ordenados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2" t="s">
        <v>8</v>
      </c>
      <c r="H220" s="2" t="s">
        <v>41</v>
      </c>
      <c r="P220" s="3" t="str">
        <f t="shared" si="1"/>
        <v>Outros Grupos Ordenados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2" t="s">
        <v>8</v>
      </c>
      <c r="H221" s="2" t="s">
        <v>41</v>
      </c>
      <c r="P221" s="3" t="str">
        <f t="shared" si="1"/>
        <v>Outros Grupos Ordenados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2" t="s">
        <v>16</v>
      </c>
      <c r="H222" s="2" t="s">
        <v>38</v>
      </c>
      <c r="P222" s="3" t="str">
        <f t="shared" si="1"/>
        <v>Ordenação Quadrática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2" t="s">
        <v>16</v>
      </c>
      <c r="H223" s="2" t="s">
        <v>38</v>
      </c>
      <c r="P223" s="3" t="str">
        <f t="shared" si="1"/>
        <v>Ordenação Quadrática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2" t="s">
        <v>16</v>
      </c>
      <c r="H224" s="2" t="s">
        <v>38</v>
      </c>
      <c r="P224" s="3" t="str">
        <f t="shared" si="1"/>
        <v>Ordenação Quadrática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2" t="s">
        <v>16</v>
      </c>
      <c r="H225" s="2" t="s">
        <v>38</v>
      </c>
      <c r="P225" s="3" t="str">
        <f t="shared" si="1"/>
        <v>Ordenação Quadrática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2" t="s">
        <v>16</v>
      </c>
      <c r="H226" s="2" t="s">
        <v>38</v>
      </c>
      <c r="P226" s="3" t="str">
        <f t="shared" si="1"/>
        <v>Ordenação Quadrática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" t="s">
        <v>22</v>
      </c>
      <c r="H227" s="2" t="s">
        <v>45</v>
      </c>
      <c r="P227" s="3" t="str">
        <f t="shared" si="1"/>
        <v>Agrupamento N-Grupos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2" t="s">
        <v>22</v>
      </c>
      <c r="H228" s="2" t="s">
        <v>45</v>
      </c>
      <c r="P228" s="3" t="str">
        <f t="shared" si="1"/>
        <v>Agrupamento N-Grupos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2" t="s">
        <v>8</v>
      </c>
      <c r="H229" s="2" t="s">
        <v>12</v>
      </c>
      <c r="P229" s="3" t="str">
        <f t="shared" si="1"/>
        <v>Outros Cálculo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2" t="s">
        <v>8</v>
      </c>
      <c r="H230" s="2" t="s">
        <v>12</v>
      </c>
      <c r="P230" s="3" t="str">
        <f t="shared" si="1"/>
        <v>Outros Cálculo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2" t="s">
        <v>8</v>
      </c>
      <c r="H231" s="2" t="s">
        <v>9</v>
      </c>
      <c r="P231" s="3" t="str">
        <f t="shared" si="1"/>
        <v>Outros Definição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2" t="s">
        <v>8</v>
      </c>
      <c r="H232" s="2" t="s">
        <v>12</v>
      </c>
      <c r="P232" s="3" t="str">
        <f t="shared" si="1"/>
        <v>Outros Cálculo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2" t="s">
        <v>8</v>
      </c>
      <c r="H233" s="2" t="s">
        <v>12</v>
      </c>
      <c r="P233" s="3" t="str">
        <f t="shared" si="1"/>
        <v>Outros Cálculo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2" t="s">
        <v>8</v>
      </c>
      <c r="H234" s="2" t="s">
        <v>12</v>
      </c>
      <c r="P234" s="3" t="str">
        <f t="shared" si="1"/>
        <v>Outros Cálculo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2" t="s">
        <v>8</v>
      </c>
      <c r="H235" s="2" t="s">
        <v>12</v>
      </c>
      <c r="P235" s="3" t="str">
        <f t="shared" si="1"/>
        <v>Outros Cálculo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2" t="s">
        <v>8</v>
      </c>
      <c r="H236" s="2" t="s">
        <v>12</v>
      </c>
      <c r="P236" s="3" t="str">
        <f t="shared" si="1"/>
        <v>Outros Cálculo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2" t="s">
        <v>8</v>
      </c>
      <c r="H237" s="2" t="s">
        <v>9</v>
      </c>
      <c r="P237" s="3" t="str">
        <f t="shared" si="1"/>
        <v>Outros Definição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2" t="s">
        <v>8</v>
      </c>
      <c r="H238" s="2" t="s">
        <v>9</v>
      </c>
      <c r="P238" s="3" t="str">
        <f t="shared" si="1"/>
        <v>Outros Definição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2" t="s">
        <v>8</v>
      </c>
      <c r="H239" s="2" t="s">
        <v>9</v>
      </c>
      <c r="P239" s="3" t="str">
        <f t="shared" si="1"/>
        <v>Outros Definição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2" t="s">
        <v>8</v>
      </c>
      <c r="H240" s="2" t="s">
        <v>9</v>
      </c>
      <c r="P240" s="3" t="str">
        <f t="shared" si="1"/>
        <v>Outros Definição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2" t="s">
        <v>8</v>
      </c>
      <c r="H241" s="2" t="s">
        <v>9</v>
      </c>
      <c r="P241" s="3" t="str">
        <f t="shared" si="1"/>
        <v>Outros Definição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2" t="s">
        <v>22</v>
      </c>
      <c r="H242" s="2" t="s">
        <v>45</v>
      </c>
      <c r="P242" s="3" t="str">
        <f t="shared" si="1"/>
        <v>Agrupamento N-Grupos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2" t="s">
        <v>8</v>
      </c>
      <c r="H243" s="2" t="s">
        <v>12</v>
      </c>
      <c r="P243" s="3" t="str">
        <f t="shared" si="1"/>
        <v>Outros Cálculo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2" t="s">
        <v>8</v>
      </c>
      <c r="H244" s="2" t="s">
        <v>12</v>
      </c>
      <c r="P244" s="3" t="str">
        <f t="shared" si="1"/>
        <v>Outros Cálculo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2" t="s">
        <v>8</v>
      </c>
      <c r="H245" s="2" t="s">
        <v>9</v>
      </c>
      <c r="P245" s="3" t="str">
        <f t="shared" si="1"/>
        <v>Outros Definição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2" t="s">
        <v>8</v>
      </c>
      <c r="H246" s="2" t="s">
        <v>12</v>
      </c>
      <c r="P246" s="3" t="str">
        <f t="shared" si="1"/>
        <v>Outros Cálculo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2" t="s">
        <v>8</v>
      </c>
      <c r="H247" s="2" t="s">
        <v>12</v>
      </c>
      <c r="P247" s="3" t="str">
        <f t="shared" si="1"/>
        <v>Outros Cálculo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2" t="s">
        <v>8</v>
      </c>
      <c r="H248" s="2" t="s">
        <v>9</v>
      </c>
      <c r="P248" s="3" t="str">
        <f t="shared" si="1"/>
        <v>Outros Definição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2" t="s">
        <v>8</v>
      </c>
      <c r="H249" s="2" t="s">
        <v>9</v>
      </c>
      <c r="P249" s="3" t="str">
        <f t="shared" si="1"/>
        <v>Outros Definição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2" t="s">
        <v>8</v>
      </c>
      <c r="H250" s="2" t="s">
        <v>9</v>
      </c>
      <c r="P250" s="3" t="str">
        <f t="shared" si="1"/>
        <v>Outros Definição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2" t="s">
        <v>8</v>
      </c>
      <c r="H251" s="2" t="s">
        <v>9</v>
      </c>
      <c r="P251" s="3" t="str">
        <f t="shared" si="1"/>
        <v>Outros Definição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2" t="s">
        <v>8</v>
      </c>
      <c r="H252" s="2" t="s">
        <v>9</v>
      </c>
      <c r="P252" s="3" t="str">
        <f t="shared" si="1"/>
        <v>Outros Definição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2" t="s">
        <v>16</v>
      </c>
      <c r="H253" s="2" t="s">
        <v>19</v>
      </c>
      <c r="P253" s="3" t="str">
        <f t="shared" si="1"/>
        <v>Ordenação Linear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2" t="s">
        <v>16</v>
      </c>
      <c r="H254" s="2" t="s">
        <v>19</v>
      </c>
      <c r="P254" s="3" t="str">
        <f t="shared" si="1"/>
        <v>Ordenação Linear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2" t="s">
        <v>16</v>
      </c>
      <c r="H255" s="2" t="s">
        <v>19</v>
      </c>
      <c r="P255" s="3" t="str">
        <f t="shared" si="1"/>
        <v>Ordenação Linear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2" t="s">
        <v>16</v>
      </c>
      <c r="H256" s="2" t="s">
        <v>19</v>
      </c>
      <c r="P256" s="3" t="str">
        <f t="shared" si="1"/>
        <v>Ordenação Linear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2" t="s">
        <v>22</v>
      </c>
      <c r="H257" s="2" t="s">
        <v>45</v>
      </c>
      <c r="P257" s="3" t="str">
        <f t="shared" si="1"/>
        <v>Agrupamento N-Grupos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2" t="s">
        <v>8</v>
      </c>
      <c r="H258" s="2" t="s">
        <v>12</v>
      </c>
      <c r="P258" s="3" t="str">
        <f t="shared" si="1"/>
        <v>Outros Cálculo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2" t="s">
        <v>8</v>
      </c>
      <c r="H259" s="2" t="s">
        <v>12</v>
      </c>
      <c r="P259" s="3" t="str">
        <f t="shared" si="1"/>
        <v>Outros Cálculo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2" t="s">
        <v>8</v>
      </c>
      <c r="H260" s="2" t="s">
        <v>12</v>
      </c>
      <c r="P260" s="3" t="str">
        <f t="shared" si="1"/>
        <v>Outros Cálculo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2" t="s">
        <v>8</v>
      </c>
      <c r="H261" s="2" t="s">
        <v>9</v>
      </c>
      <c r="P261" s="3" t="str">
        <f t="shared" si="1"/>
        <v>Outros Definição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2" t="s">
        <v>8</v>
      </c>
      <c r="H262" s="2" t="s">
        <v>9</v>
      </c>
      <c r="P262" s="3" t="str">
        <f t="shared" si="1"/>
        <v>Outros Definição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2" t="s">
        <v>8</v>
      </c>
      <c r="H263" s="2" t="s">
        <v>9</v>
      </c>
      <c r="P263" s="3" t="str">
        <f t="shared" si="1"/>
        <v>Outros Definição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2" t="s">
        <v>8</v>
      </c>
      <c r="H264" s="2" t="s">
        <v>9</v>
      </c>
      <c r="P264" s="3" t="str">
        <f t="shared" si="1"/>
        <v>Outros Definição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2" t="s">
        <v>16</v>
      </c>
      <c r="H265" s="2" t="s">
        <v>19</v>
      </c>
      <c r="P265" s="3" t="str">
        <f t="shared" si="1"/>
        <v>Ordenação Linear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2" t="s">
        <v>16</v>
      </c>
      <c r="H266" s="2" t="s">
        <v>19</v>
      </c>
      <c r="P266" s="3" t="str">
        <f t="shared" si="1"/>
        <v>Ordenação Linear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2" t="s">
        <v>16</v>
      </c>
      <c r="H267" s="2" t="s">
        <v>19</v>
      </c>
      <c r="P267" s="3" t="str">
        <f t="shared" si="1"/>
        <v>Ordenação Linear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2" t="s">
        <v>16</v>
      </c>
      <c r="H268" s="2" t="s">
        <v>19</v>
      </c>
      <c r="P268" s="3" t="str">
        <f t="shared" si="1"/>
        <v>Ordenação Linear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2" t="s">
        <v>16</v>
      </c>
      <c r="H269" s="2" t="s">
        <v>58</v>
      </c>
      <c r="P269" s="3" t="str">
        <f t="shared" si="1"/>
        <v>Ordenação Livre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2" t="s">
        <v>16</v>
      </c>
      <c r="H270" s="2" t="s">
        <v>58</v>
      </c>
      <c r="P270" s="3" t="str">
        <f t="shared" si="1"/>
        <v>Ordenação Livre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2" t="s">
        <v>16</v>
      </c>
      <c r="H271" s="2" t="s">
        <v>58</v>
      </c>
      <c r="P271" s="3" t="str">
        <f t="shared" si="1"/>
        <v>Ordenação Livre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2" t="s">
        <v>8</v>
      </c>
      <c r="H272" s="2" t="s">
        <v>9</v>
      </c>
      <c r="P272" s="3" t="str">
        <f t="shared" si="1"/>
        <v>Outros Definição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2" t="s">
        <v>8</v>
      </c>
      <c r="H273" s="2" t="s">
        <v>9</v>
      </c>
      <c r="P273" s="3" t="str">
        <f t="shared" si="1"/>
        <v>Outros Definição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2" t="s">
        <v>8</v>
      </c>
      <c r="H274" s="2" t="s">
        <v>9</v>
      </c>
      <c r="P274" s="3" t="str">
        <f t="shared" si="1"/>
        <v>Outros Definição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2" t="s">
        <v>8</v>
      </c>
      <c r="H275" s="2" t="s">
        <v>12</v>
      </c>
      <c r="P275" s="3" t="str">
        <f t="shared" si="1"/>
        <v>Outros Cálculo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" t="s">
        <v>8</v>
      </c>
      <c r="H276" s="2" t="s">
        <v>9</v>
      </c>
      <c r="P276" s="3" t="str">
        <f t="shared" si="1"/>
        <v>Outros Definição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2" t="s">
        <v>8</v>
      </c>
      <c r="H277" s="2" t="s">
        <v>9</v>
      </c>
      <c r="P277" s="3" t="str">
        <f t="shared" si="1"/>
        <v>Outros Definição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2" t="s">
        <v>8</v>
      </c>
      <c r="H278" s="2" t="s">
        <v>9</v>
      </c>
      <c r="P278" s="3" t="str">
        <f t="shared" si="1"/>
        <v>Outros Definição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2" t="s">
        <v>8</v>
      </c>
      <c r="H279" s="2" t="s">
        <v>9</v>
      </c>
      <c r="P279" s="3" t="str">
        <f t="shared" si="1"/>
        <v>Outros Definição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2" t="s">
        <v>8</v>
      </c>
      <c r="H280" s="2" t="s">
        <v>9</v>
      </c>
      <c r="P280" s="3" t="str">
        <f t="shared" si="1"/>
        <v>Outros Definição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2" t="s">
        <v>8</v>
      </c>
      <c r="H281" s="2" t="s">
        <v>9</v>
      </c>
      <c r="P281" s="3" t="str">
        <f t="shared" si="1"/>
        <v>Outros Definição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2" t="s">
        <v>8</v>
      </c>
      <c r="H282" s="2" t="s">
        <v>12</v>
      </c>
      <c r="P282" s="3" t="str">
        <f t="shared" si="1"/>
        <v>Outros Cálculo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2" t="s">
        <v>8</v>
      </c>
      <c r="H283" s="2" t="s">
        <v>9</v>
      </c>
      <c r="P283" s="3" t="str">
        <f t="shared" si="1"/>
        <v>Outros Definição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2" t="s">
        <v>8</v>
      </c>
      <c r="H284" s="2" t="s">
        <v>9</v>
      </c>
      <c r="P284" s="3" t="str">
        <f t="shared" si="1"/>
        <v>Outros Definição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2" t="s">
        <v>8</v>
      </c>
      <c r="H285" s="2" t="s">
        <v>9</v>
      </c>
      <c r="P285" s="3" t="str">
        <f t="shared" si="1"/>
        <v>Outros Definição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2" t="s">
        <v>8</v>
      </c>
      <c r="H286" s="2" t="s">
        <v>9</v>
      </c>
      <c r="P286" s="3" t="str">
        <f t="shared" si="1"/>
        <v>Outros Definição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2" t="s">
        <v>8</v>
      </c>
      <c r="H287" s="2" t="s">
        <v>9</v>
      </c>
      <c r="P287" s="3" t="str">
        <f t="shared" si="1"/>
        <v>Outros Definição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2" t="s">
        <v>16</v>
      </c>
      <c r="H288" s="2" t="s">
        <v>19</v>
      </c>
      <c r="P288" s="3" t="str">
        <f t="shared" si="1"/>
        <v>Ordenação Linear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2" t="s">
        <v>16</v>
      </c>
      <c r="H289" s="2" t="s">
        <v>19</v>
      </c>
      <c r="P289" s="3" t="str">
        <f t="shared" si="1"/>
        <v>Ordenação Linear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2" t="s">
        <v>16</v>
      </c>
      <c r="H290" s="2" t="s">
        <v>19</v>
      </c>
      <c r="P290" s="3" t="str">
        <f t="shared" si="1"/>
        <v>Ordenação Linear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2" t="s">
        <v>16</v>
      </c>
      <c r="H291" s="2" t="s">
        <v>19</v>
      </c>
      <c r="P291" s="3" t="str">
        <f t="shared" si="1"/>
        <v>Ordenação Linear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2" t="s">
        <v>8</v>
      </c>
      <c r="H292" s="2" t="s">
        <v>9</v>
      </c>
      <c r="P292" s="3" t="str">
        <f t="shared" si="1"/>
        <v>Outros Definição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2" t="s">
        <v>8</v>
      </c>
      <c r="H293" s="2" t="s">
        <v>9</v>
      </c>
      <c r="P293" s="3" t="str">
        <f t="shared" si="1"/>
        <v>Outros Definição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" t="s">
        <v>8</v>
      </c>
      <c r="H294" s="2" t="s">
        <v>12</v>
      </c>
      <c r="P294" s="3" t="str">
        <f t="shared" si="1"/>
        <v>Outros Cálculo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2" t="s">
        <v>8</v>
      </c>
      <c r="H295" s="2" t="s">
        <v>9</v>
      </c>
      <c r="P295" s="3" t="str">
        <f t="shared" si="1"/>
        <v>Outros Definição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2" t="s">
        <v>8</v>
      </c>
      <c r="H296" s="2" t="s">
        <v>9</v>
      </c>
      <c r="P296" s="3" t="str">
        <f t="shared" si="1"/>
        <v>Outros Definição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2" t="s">
        <v>8</v>
      </c>
      <c r="H297" s="2" t="s">
        <v>9</v>
      </c>
      <c r="P297" s="3" t="str">
        <f t="shared" si="1"/>
        <v>Outros Definição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2" t="s">
        <v>8</v>
      </c>
      <c r="H298" s="2" t="s">
        <v>9</v>
      </c>
      <c r="P298" s="3" t="str">
        <f t="shared" si="1"/>
        <v>Outros Definição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2" t="s">
        <v>8</v>
      </c>
      <c r="H299" s="2" t="s">
        <v>9</v>
      </c>
      <c r="P299" s="3" t="str">
        <f t="shared" si="1"/>
        <v>Outros Definição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2" t="s">
        <v>8</v>
      </c>
      <c r="H300" s="2" t="s">
        <v>9</v>
      </c>
      <c r="P300" s="3" t="str">
        <f t="shared" si="1"/>
        <v>Outros Definição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2" t="s">
        <v>8</v>
      </c>
      <c r="H301" s="2" t="s">
        <v>12</v>
      </c>
      <c r="P301" s="3" t="str">
        <f t="shared" si="1"/>
        <v>Outros Cálculo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2" t="s">
        <v>8</v>
      </c>
      <c r="H302" s="2" t="s">
        <v>9</v>
      </c>
      <c r="P302" s="3" t="str">
        <f t="shared" si="1"/>
        <v>Outros Definição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2" t="s">
        <v>8</v>
      </c>
      <c r="H303" s="2" t="s">
        <v>9</v>
      </c>
      <c r="P303" s="3" t="str">
        <f t="shared" si="1"/>
        <v>Outros Definição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2" t="s">
        <v>8</v>
      </c>
      <c r="H304" s="2" t="s">
        <v>12</v>
      </c>
      <c r="P304" s="3" t="str">
        <f t="shared" si="1"/>
        <v>Outros Cálculo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2" t="s">
        <v>8</v>
      </c>
      <c r="H305" s="2" t="s">
        <v>12</v>
      </c>
      <c r="P305" s="3" t="str">
        <f t="shared" si="1"/>
        <v>Outros Cálculo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2" t="s">
        <v>8</v>
      </c>
      <c r="H306" s="2" t="s">
        <v>12</v>
      </c>
      <c r="P306" s="3" t="str">
        <f t="shared" si="1"/>
        <v>Outros Cálculo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2" t="s">
        <v>8</v>
      </c>
      <c r="H307" s="2" t="s">
        <v>12</v>
      </c>
      <c r="P307" s="3" t="str">
        <f t="shared" si="1"/>
        <v>Outros Cálculo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2" t="s">
        <v>22</v>
      </c>
      <c r="H308" s="2" t="s">
        <v>45</v>
      </c>
      <c r="P308" s="3" t="str">
        <f t="shared" si="1"/>
        <v>Agrupamento N-Grupos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2" t="s">
        <v>22</v>
      </c>
      <c r="H309" s="2" t="s">
        <v>45</v>
      </c>
      <c r="P309" s="3" t="str">
        <f t="shared" si="1"/>
        <v>Agrupamento N-Grupos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2" t="s">
        <v>22</v>
      </c>
      <c r="H310" s="2" t="s">
        <v>45</v>
      </c>
      <c r="P310" s="3" t="str">
        <f t="shared" si="1"/>
        <v>Agrupamento N-Grupos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2" t="s">
        <v>22</v>
      </c>
      <c r="H311" s="2" t="s">
        <v>45</v>
      </c>
      <c r="P311" s="3" t="str">
        <f t="shared" si="1"/>
        <v>Agrupamento N-Grupos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" t="s">
        <v>8</v>
      </c>
      <c r="H312" s="2" t="s">
        <v>9</v>
      </c>
      <c r="P312" s="3" t="str">
        <f t="shared" si="1"/>
        <v>Outros Definição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" t="s">
        <v>8</v>
      </c>
      <c r="H313" s="2" t="s">
        <v>12</v>
      </c>
      <c r="P313" s="3" t="str">
        <f t="shared" si="1"/>
        <v>Outros Cálculo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2" t="s">
        <v>8</v>
      </c>
      <c r="H314" s="2" t="s">
        <v>9</v>
      </c>
      <c r="P314" s="3" t="str">
        <f t="shared" si="1"/>
        <v>Outros Definição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2" t="s">
        <v>8</v>
      </c>
      <c r="H315" s="2" t="s">
        <v>9</v>
      </c>
      <c r="P315" s="3" t="str">
        <f t="shared" si="1"/>
        <v>Outros Definição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2" t="s">
        <v>8</v>
      </c>
      <c r="H316" s="2" t="s">
        <v>9</v>
      </c>
      <c r="P316" s="3" t="str">
        <f t="shared" si="1"/>
        <v>Outros Definição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2" t="s">
        <v>8</v>
      </c>
      <c r="H317" s="2" t="s">
        <v>12</v>
      </c>
      <c r="P317" s="3" t="str">
        <f t="shared" si="1"/>
        <v>Outros Cálculo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" t="s">
        <v>8</v>
      </c>
      <c r="H318" s="2" t="s">
        <v>9</v>
      </c>
      <c r="P318" s="3" t="str">
        <f t="shared" si="1"/>
        <v>Outros Definição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" t="s">
        <v>8</v>
      </c>
      <c r="H319" s="2" t="s">
        <v>9</v>
      </c>
      <c r="P319" s="3" t="str">
        <f t="shared" si="1"/>
        <v>Outros Definição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2" t="s">
        <v>8</v>
      </c>
      <c r="H320" s="2" t="s">
        <v>12</v>
      </c>
      <c r="P320" s="3" t="str">
        <f t="shared" si="1"/>
        <v>Outros Cálculo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2" t="s">
        <v>8</v>
      </c>
      <c r="H321" s="2" t="s">
        <v>12</v>
      </c>
      <c r="P321" s="3" t="str">
        <f t="shared" si="1"/>
        <v>Outros Cálculo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2" t="s">
        <v>8</v>
      </c>
      <c r="H322" s="2" t="s">
        <v>12</v>
      </c>
      <c r="P322" s="3" t="str">
        <f t="shared" si="1"/>
        <v>Outros Cálculo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2" t="s">
        <v>8</v>
      </c>
      <c r="H323" s="2" t="s">
        <v>12</v>
      </c>
      <c r="P323" s="3" t="str">
        <f t="shared" si="1"/>
        <v>Outros Cálculo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2" t="s">
        <v>22</v>
      </c>
      <c r="H324" s="2" t="s">
        <v>45</v>
      </c>
      <c r="P324" s="3" t="str">
        <f t="shared" si="1"/>
        <v>Agrupamento N-Grupos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2" t="s">
        <v>22</v>
      </c>
      <c r="H325" s="2" t="s">
        <v>45</v>
      </c>
      <c r="P325" s="3" t="str">
        <f t="shared" si="1"/>
        <v>Agrupamento N-Grupos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2" t="s">
        <v>22</v>
      </c>
      <c r="H326" s="2" t="s">
        <v>45</v>
      </c>
      <c r="P326" s="3" t="str">
        <f t="shared" si="1"/>
        <v>Agrupamento N-Grupos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2" t="s">
        <v>22</v>
      </c>
      <c r="H327" s="2" t="s">
        <v>45</v>
      </c>
      <c r="P327" s="3" t="str">
        <f t="shared" si="1"/>
        <v>Agrupamento N-Grupos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" t="s">
        <v>16</v>
      </c>
      <c r="H328" s="2" t="s">
        <v>38</v>
      </c>
      <c r="P328" s="3" t="str">
        <f t="shared" si="1"/>
        <v>Ordenação Quadrática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" t="s">
        <v>16</v>
      </c>
      <c r="H329" s="2" t="s">
        <v>38</v>
      </c>
      <c r="P329" s="3" t="str">
        <f t="shared" si="1"/>
        <v>Ordenação Quadrática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" t="s">
        <v>16</v>
      </c>
      <c r="H330" s="2" t="s">
        <v>38</v>
      </c>
      <c r="P330" s="3" t="str">
        <f t="shared" si="1"/>
        <v>Ordenação Quadrática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" t="s">
        <v>16</v>
      </c>
      <c r="H331" s="2" t="s">
        <v>38</v>
      </c>
      <c r="P331" s="3" t="str">
        <f t="shared" si="1"/>
        <v>Ordenação Quadrática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2" t="s">
        <v>8</v>
      </c>
      <c r="H332" s="2" t="s">
        <v>12</v>
      </c>
      <c r="P332" s="3" t="str">
        <f t="shared" si="1"/>
        <v>Outros Cálculo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2" t="s">
        <v>8</v>
      </c>
      <c r="H333" s="2" t="s">
        <v>12</v>
      </c>
      <c r="P333" s="3" t="str">
        <f t="shared" si="1"/>
        <v>Outros Cálculo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2" t="s">
        <v>8</v>
      </c>
      <c r="H334" s="2" t="s">
        <v>12</v>
      </c>
      <c r="P334" s="3" t="str">
        <f t="shared" si="1"/>
        <v>Outros Cálculo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2" t="s">
        <v>8</v>
      </c>
      <c r="H335" s="2" t="s">
        <v>12</v>
      </c>
      <c r="P335" s="3" t="str">
        <f t="shared" si="1"/>
        <v>Outros Cálculo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2" t="s">
        <v>8</v>
      </c>
      <c r="H336" s="2" t="s">
        <v>9</v>
      </c>
      <c r="P336" s="3" t="str">
        <f t="shared" si="1"/>
        <v>Outros Definição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2" t="s">
        <v>8</v>
      </c>
      <c r="H337" s="2" t="s">
        <v>9</v>
      </c>
      <c r="P337" s="3" t="str">
        <f t="shared" si="1"/>
        <v>Outros Definição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2" t="s">
        <v>16</v>
      </c>
      <c r="H338" s="2" t="s">
        <v>19</v>
      </c>
      <c r="P338" s="3" t="str">
        <f t="shared" si="1"/>
        <v>Ordenação Linear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2" t="s">
        <v>16</v>
      </c>
      <c r="H339" s="2" t="s">
        <v>19</v>
      </c>
      <c r="P339" s="3" t="str">
        <f t="shared" si="1"/>
        <v>Ordenação Linear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2" t="s">
        <v>8</v>
      </c>
      <c r="H340" s="2" t="s">
        <v>12</v>
      </c>
      <c r="P340" s="3" t="str">
        <f t="shared" si="1"/>
        <v>Outros Cálculo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2" t="s">
        <v>8</v>
      </c>
      <c r="H341" s="2" t="s">
        <v>12</v>
      </c>
      <c r="P341" s="3" t="str">
        <f t="shared" si="1"/>
        <v>Outros Cálculo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2" t="s">
        <v>8</v>
      </c>
      <c r="H342" s="2" t="s">
        <v>12</v>
      </c>
      <c r="P342" s="3" t="str">
        <f t="shared" si="1"/>
        <v>Outros Cálculo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2" t="s">
        <v>8</v>
      </c>
      <c r="H343" s="2" t="s">
        <v>12</v>
      </c>
      <c r="P343" s="3" t="str">
        <f t="shared" si="1"/>
        <v>Outros Cálculo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2" t="s">
        <v>16</v>
      </c>
      <c r="H344" s="2" t="s">
        <v>19</v>
      </c>
      <c r="P344" s="3" t="str">
        <f t="shared" si="1"/>
        <v>Ordenação Linear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2" t="s">
        <v>16</v>
      </c>
      <c r="H345" s="2" t="s">
        <v>19</v>
      </c>
      <c r="P345" s="3" t="str">
        <f t="shared" si="1"/>
        <v>Ordenação Linear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2" t="s">
        <v>16</v>
      </c>
      <c r="H346" s="2" t="s">
        <v>19</v>
      </c>
      <c r="P346" s="3" t="str">
        <f t="shared" si="1"/>
        <v>Ordenação Linear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2" t="s">
        <v>16</v>
      </c>
      <c r="H347" s="2" t="s">
        <v>19</v>
      </c>
      <c r="P347" s="3" t="str">
        <f t="shared" si="1"/>
        <v>Ordenação Linear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2" t="s">
        <v>16</v>
      </c>
      <c r="H348" s="2" t="s">
        <v>19</v>
      </c>
      <c r="P348" s="3" t="str">
        <f t="shared" si="1"/>
        <v>Ordenação Linear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2" t="s">
        <v>16</v>
      </c>
      <c r="H349" s="2" t="s">
        <v>19</v>
      </c>
      <c r="P349" s="3" t="str">
        <f t="shared" si="1"/>
        <v>Ordenação Linear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2" t="s">
        <v>16</v>
      </c>
      <c r="H350" s="2" t="s">
        <v>19</v>
      </c>
      <c r="P350" s="3" t="str">
        <f t="shared" si="1"/>
        <v>Ordenação Linear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2" t="s">
        <v>16</v>
      </c>
      <c r="H351" s="2" t="s">
        <v>19</v>
      </c>
      <c r="P351" s="3" t="str">
        <f t="shared" si="1"/>
        <v>Ordenação Linear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2" t="s">
        <v>16</v>
      </c>
      <c r="H352" s="2" t="s">
        <v>19</v>
      </c>
      <c r="P352" s="3" t="str">
        <f t="shared" si="1"/>
        <v>Ordenação Linear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2" t="s">
        <v>16</v>
      </c>
      <c r="H353" s="2" t="s">
        <v>19</v>
      </c>
      <c r="P353" s="3" t="str">
        <f t="shared" si="1"/>
        <v>Ordenação Linear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2" t="s">
        <v>16</v>
      </c>
      <c r="H354" s="2" t="s">
        <v>19</v>
      </c>
      <c r="P354" s="3" t="str">
        <f t="shared" si="1"/>
        <v>Ordenação Linear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2" t="s">
        <v>16</v>
      </c>
      <c r="H355" s="2" t="s">
        <v>19</v>
      </c>
      <c r="P355" s="3" t="str">
        <f t="shared" si="1"/>
        <v>Ordenação Linear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2" t="s">
        <v>8</v>
      </c>
      <c r="H356" s="2" t="s">
        <v>41</v>
      </c>
      <c r="P356" s="3" t="str">
        <f t="shared" si="1"/>
        <v>Outros Grupos Ordenados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2" t="s">
        <v>8</v>
      </c>
      <c r="H357" s="2" t="s">
        <v>41</v>
      </c>
      <c r="P357" s="3" t="str">
        <f t="shared" si="1"/>
        <v>Outros Grupos Ordenados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2" t="s">
        <v>8</v>
      </c>
      <c r="H358" s="2" t="s">
        <v>41</v>
      </c>
      <c r="P358" s="3" t="str">
        <f t="shared" si="1"/>
        <v>Outros Grupos Ordenados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2" t="s">
        <v>8</v>
      </c>
      <c r="H359" s="2" t="s">
        <v>41</v>
      </c>
      <c r="P359" s="3" t="str">
        <f t="shared" si="1"/>
        <v>Outros Grupos Ordenados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2" t="s">
        <v>8</v>
      </c>
      <c r="H360" s="2" t="s">
        <v>41</v>
      </c>
      <c r="P360" s="3" t="str">
        <f t="shared" si="1"/>
        <v>Outros Grupos Ordenados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2" t="s">
        <v>8</v>
      </c>
      <c r="H361" s="2" t="s">
        <v>41</v>
      </c>
      <c r="P361" s="3" t="str">
        <f t="shared" si="1"/>
        <v>Outros Grupos Ordenados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2" t="s">
        <v>8</v>
      </c>
      <c r="H362" s="2" t="s">
        <v>9</v>
      </c>
      <c r="P362" s="3" t="str">
        <f t="shared" si="1"/>
        <v>Outros Definição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2" t="s">
        <v>8</v>
      </c>
      <c r="H363" s="2" t="s">
        <v>9</v>
      </c>
      <c r="P363" s="3" t="str">
        <f t="shared" si="1"/>
        <v>Outros Definição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2" t="s">
        <v>16</v>
      </c>
      <c r="H364" s="2" t="s">
        <v>19</v>
      </c>
      <c r="P364" s="3" t="str">
        <f t="shared" si="1"/>
        <v>Ordenação Linear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2" t="s">
        <v>16</v>
      </c>
      <c r="H365" s="2" t="s">
        <v>19</v>
      </c>
      <c r="P365" s="3" t="str">
        <f t="shared" si="1"/>
        <v>Ordenação Linear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2" t="s">
        <v>8</v>
      </c>
      <c r="H366" s="2" t="s">
        <v>12</v>
      </c>
      <c r="P366" s="3" t="str">
        <f t="shared" si="1"/>
        <v>Outros Cálculo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2" t="s">
        <v>8</v>
      </c>
      <c r="H367" s="2" t="s">
        <v>12</v>
      </c>
      <c r="P367" s="3" t="str">
        <f t="shared" si="1"/>
        <v>Outros Cálculo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2" t="s">
        <v>8</v>
      </c>
      <c r="H368" s="2" t="s">
        <v>12</v>
      </c>
      <c r="P368" s="3" t="str">
        <f t="shared" si="1"/>
        <v>Outros Cálculo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2" t="s">
        <v>8</v>
      </c>
      <c r="H369" s="2" t="s">
        <v>12</v>
      </c>
      <c r="P369" s="3" t="str">
        <f t="shared" si="1"/>
        <v>Outros Cálculo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2" t="s">
        <v>8</v>
      </c>
      <c r="H370" s="2" t="s">
        <v>12</v>
      </c>
      <c r="P370" s="3" t="str">
        <f t="shared" si="1"/>
        <v>Outros Cálculo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2" t="s">
        <v>8</v>
      </c>
      <c r="H371" s="2" t="s">
        <v>12</v>
      </c>
      <c r="P371" s="3" t="str">
        <f t="shared" si="1"/>
        <v>Outros Cálculo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2" t="s">
        <v>8</v>
      </c>
      <c r="H372" s="2" t="s">
        <v>12</v>
      </c>
      <c r="P372" s="3" t="str">
        <f t="shared" si="1"/>
        <v>Outros Cálculo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2" t="s">
        <v>8</v>
      </c>
      <c r="H373" s="2" t="s">
        <v>12</v>
      </c>
      <c r="P373" s="3" t="str">
        <f t="shared" si="1"/>
        <v>Outros Cálculo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2" t="s">
        <v>8</v>
      </c>
      <c r="H374" s="2" t="s">
        <v>12</v>
      </c>
      <c r="P374" s="3" t="str">
        <f t="shared" si="1"/>
        <v>Outros Cálculo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2" t="s">
        <v>8</v>
      </c>
      <c r="H375" s="2" t="s">
        <v>12</v>
      </c>
      <c r="P375" s="3" t="str">
        <f t="shared" si="1"/>
        <v>Outros Cálculo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2" t="s">
        <v>8</v>
      </c>
      <c r="H376" s="2" t="s">
        <v>12</v>
      </c>
      <c r="P376" s="3" t="str">
        <f t="shared" si="1"/>
        <v>Outros Cálculo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" t="s">
        <v>8</v>
      </c>
      <c r="H377" s="2" t="s">
        <v>12</v>
      </c>
      <c r="P377" s="3" t="str">
        <f t="shared" si="1"/>
        <v>Outros Cálculo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2" t="s">
        <v>8</v>
      </c>
      <c r="H378" s="2" t="s">
        <v>12</v>
      </c>
      <c r="P378" s="3" t="str">
        <f t="shared" si="1"/>
        <v>Outros Cálculo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2" t="s">
        <v>8</v>
      </c>
      <c r="H379" s="2" t="s">
        <v>12</v>
      </c>
      <c r="P379" s="3" t="str">
        <f t="shared" si="1"/>
        <v>Outros Cálculo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2" t="s">
        <v>8</v>
      </c>
      <c r="H380" s="2" t="s">
        <v>12</v>
      </c>
      <c r="P380" s="3" t="str">
        <f t="shared" si="1"/>
        <v>Outros Cálculo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2" t="s">
        <v>8</v>
      </c>
      <c r="H381" s="2" t="s">
        <v>12</v>
      </c>
      <c r="P381" s="3" t="str">
        <f t="shared" si="1"/>
        <v>Outros Cálculo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2" t="s">
        <v>8</v>
      </c>
      <c r="H382" s="2" t="s">
        <v>12</v>
      </c>
      <c r="P382" s="3" t="str">
        <f t="shared" si="1"/>
        <v>Outros Cálculo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2" t="s">
        <v>8</v>
      </c>
      <c r="H383" s="2" t="s">
        <v>12</v>
      </c>
      <c r="P383" s="3" t="str">
        <f t="shared" si="1"/>
        <v>Outros Cálculo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2" t="s">
        <v>16</v>
      </c>
      <c r="H384" s="2" t="s">
        <v>19</v>
      </c>
      <c r="P384" s="3" t="str">
        <f t="shared" si="1"/>
        <v>Ordenação Linear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2" t="s">
        <v>16</v>
      </c>
      <c r="H385" s="2" t="s">
        <v>19</v>
      </c>
      <c r="P385" s="3" t="str">
        <f t="shared" si="1"/>
        <v>Ordenação Linear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2" t="s">
        <v>16</v>
      </c>
      <c r="H386" s="2" t="s">
        <v>19</v>
      </c>
      <c r="P386" s="3" t="str">
        <f t="shared" si="1"/>
        <v>Ordenação Linear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2" t="s">
        <v>16</v>
      </c>
      <c r="H387" s="2" t="s">
        <v>19</v>
      </c>
      <c r="P387" s="3" t="str">
        <f t="shared" si="1"/>
        <v>Ordenação Linear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2" t="s">
        <v>16</v>
      </c>
      <c r="H388" s="2" t="s">
        <v>19</v>
      </c>
      <c r="P388" s="3" t="str">
        <f t="shared" si="1"/>
        <v>Ordenação Linear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2" t="s">
        <v>16</v>
      </c>
      <c r="H389" s="2" t="s">
        <v>19</v>
      </c>
      <c r="P389" s="3" t="str">
        <f t="shared" si="1"/>
        <v>Ordenação Linear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2" t="s">
        <v>16</v>
      </c>
      <c r="H390" s="2" t="s">
        <v>19</v>
      </c>
      <c r="P390" s="3" t="str">
        <f t="shared" si="1"/>
        <v>Ordenação Linear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2" t="s">
        <v>16</v>
      </c>
      <c r="H391" s="2" t="s">
        <v>19</v>
      </c>
      <c r="P391" s="3" t="str">
        <f t="shared" si="1"/>
        <v>Ordenação Linear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2" t="s">
        <v>16</v>
      </c>
      <c r="H392" s="2" t="s">
        <v>19</v>
      </c>
      <c r="P392" s="3" t="str">
        <f t="shared" si="1"/>
        <v>Ordenação Linear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2" t="s">
        <v>16</v>
      </c>
      <c r="H393" s="2" t="s">
        <v>19</v>
      </c>
      <c r="P393" s="3" t="str">
        <f t="shared" si="1"/>
        <v>Ordenação Linear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2" t="s">
        <v>16</v>
      </c>
      <c r="H394" s="2" t="s">
        <v>19</v>
      </c>
      <c r="P394" s="3" t="str">
        <f t="shared" si="1"/>
        <v>Ordenação Linear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2" t="s">
        <v>16</v>
      </c>
      <c r="H395" s="2" t="s">
        <v>19</v>
      </c>
      <c r="P395" s="3" t="str">
        <f t="shared" si="1"/>
        <v>Ordenação Linear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2" t="s">
        <v>8</v>
      </c>
      <c r="H396" s="2" t="s">
        <v>41</v>
      </c>
      <c r="P396" s="3" t="str">
        <f t="shared" si="1"/>
        <v>Outros Grupos Ordenados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2" t="s">
        <v>8</v>
      </c>
      <c r="H397" s="2" t="s">
        <v>41</v>
      </c>
      <c r="P397" s="3" t="str">
        <f t="shared" si="1"/>
        <v>Outros Grupos Ordenados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2" t="s">
        <v>8</v>
      </c>
      <c r="H398" s="2" t="s">
        <v>41</v>
      </c>
      <c r="P398" s="3" t="str">
        <f t="shared" si="1"/>
        <v>Outros Grupos Ordenados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2" t="s">
        <v>8</v>
      </c>
      <c r="H399" s="2" t="s">
        <v>41</v>
      </c>
      <c r="P399" s="3" t="str">
        <f t="shared" si="1"/>
        <v>Outros Grupos Ordenados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2" t="s">
        <v>8</v>
      </c>
      <c r="H400" s="2" t="s">
        <v>41</v>
      </c>
      <c r="P400" s="3" t="str">
        <f t="shared" si="1"/>
        <v>Outros Grupos Ordenados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2" t="s">
        <v>8</v>
      </c>
      <c r="H401" s="2" t="s">
        <v>41</v>
      </c>
      <c r="P401" s="3" t="str">
        <f t="shared" si="1"/>
        <v>Outros Grupos Ordenados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2" t="s">
        <v>16</v>
      </c>
      <c r="H402" s="2" t="s">
        <v>19</v>
      </c>
      <c r="P402" s="3" t="str">
        <f t="shared" si="1"/>
        <v>Ordenação Linear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2" t="s">
        <v>16</v>
      </c>
      <c r="H403" s="2" t="s">
        <v>19</v>
      </c>
      <c r="P403" s="3" t="str">
        <f t="shared" si="1"/>
        <v>Ordenação Linear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2" t="s">
        <v>8</v>
      </c>
      <c r="H404" s="2" t="s">
        <v>12</v>
      </c>
      <c r="P404" s="3" t="str">
        <f t="shared" si="1"/>
        <v>Outros Cálculo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2" t="s">
        <v>8</v>
      </c>
      <c r="H405" s="2" t="s">
        <v>12</v>
      </c>
      <c r="P405" s="3" t="str">
        <f t="shared" si="1"/>
        <v>Outros Cálculo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2" t="s">
        <v>8</v>
      </c>
      <c r="H406" s="2" t="s">
        <v>12</v>
      </c>
      <c r="P406" s="3" t="str">
        <f t="shared" si="1"/>
        <v>Outros Cálculo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2" t="s">
        <v>8</v>
      </c>
      <c r="H407" s="2" t="s">
        <v>12</v>
      </c>
      <c r="P407" s="3" t="str">
        <f t="shared" si="1"/>
        <v>Outros Cálculo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2" t="s">
        <v>8</v>
      </c>
      <c r="H408" s="2" t="s">
        <v>12</v>
      </c>
      <c r="P408" s="3" t="str">
        <f t="shared" si="1"/>
        <v>Outros Cálculo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" t="s">
        <v>8</v>
      </c>
      <c r="H409" s="2" t="s">
        <v>12</v>
      </c>
      <c r="P409" s="3" t="str">
        <f t="shared" si="1"/>
        <v>Outros Cálculo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2" t="s">
        <v>8</v>
      </c>
      <c r="H410" s="2" t="s">
        <v>12</v>
      </c>
      <c r="P410" s="3" t="str">
        <f t="shared" si="1"/>
        <v>Outros Cálculo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2" t="s">
        <v>8</v>
      </c>
      <c r="H411" s="2" t="s">
        <v>12</v>
      </c>
      <c r="P411" s="3" t="str">
        <f t="shared" si="1"/>
        <v>Outros Cálculo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" t="s">
        <v>8</v>
      </c>
      <c r="H412" s="2" t="s">
        <v>12</v>
      </c>
      <c r="P412" s="3" t="str">
        <f t="shared" si="1"/>
        <v>Outros Cálculo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" t="s">
        <v>8</v>
      </c>
      <c r="H413" s="2" t="s">
        <v>12</v>
      </c>
      <c r="P413" s="3" t="str">
        <f t="shared" si="1"/>
        <v>Outros Cálculo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" t="s">
        <v>8</v>
      </c>
      <c r="H414" s="2" t="s">
        <v>12</v>
      </c>
      <c r="P414" s="3" t="str">
        <f t="shared" si="1"/>
        <v>Outros Cálculo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2" t="s">
        <v>8</v>
      </c>
      <c r="H415" s="2" t="s">
        <v>12</v>
      </c>
      <c r="P415" s="3" t="str">
        <f t="shared" si="1"/>
        <v>Outros Cálculo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2" t="s">
        <v>8</v>
      </c>
      <c r="H416" s="2" t="s">
        <v>12</v>
      </c>
      <c r="P416" s="3" t="str">
        <f t="shared" si="1"/>
        <v>Outros Cálculo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2" t="s">
        <v>8</v>
      </c>
      <c r="H417" s="2" t="s">
        <v>12</v>
      </c>
      <c r="P417" s="3" t="str">
        <f t="shared" si="1"/>
        <v>Outros Cálculo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2" t="s">
        <v>8</v>
      </c>
      <c r="H418" s="2" t="s">
        <v>12</v>
      </c>
      <c r="P418" s="3" t="str">
        <f t="shared" si="1"/>
        <v>Outros Cálculo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2" t="s">
        <v>8</v>
      </c>
      <c r="H419" s="2" t="s">
        <v>12</v>
      </c>
      <c r="P419" s="3" t="str">
        <f t="shared" si="1"/>
        <v>Outros Cálculo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2" t="s">
        <v>8</v>
      </c>
      <c r="H420" s="2" t="s">
        <v>12</v>
      </c>
      <c r="P420" s="3" t="str">
        <f t="shared" si="1"/>
        <v>Outros Cálculo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2" t="s">
        <v>8</v>
      </c>
      <c r="H421" s="2" t="s">
        <v>12</v>
      </c>
      <c r="P421" s="3" t="str">
        <f t="shared" si="1"/>
        <v>Outros Cálculo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2" t="s">
        <v>8</v>
      </c>
      <c r="H422" s="2" t="s">
        <v>12</v>
      </c>
      <c r="P422" s="3" t="str">
        <f t="shared" si="1"/>
        <v>Outros Cálculo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2" t="s">
        <v>8</v>
      </c>
      <c r="H423" s="2" t="s">
        <v>12</v>
      </c>
      <c r="P423" s="3" t="str">
        <f t="shared" si="1"/>
        <v>Outros Cálculo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2" t="s">
        <v>8</v>
      </c>
      <c r="H424" s="2" t="s">
        <v>9</v>
      </c>
      <c r="P424" s="3" t="str">
        <f t="shared" si="1"/>
        <v>Outros Definição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2" t="s">
        <v>8</v>
      </c>
      <c r="H425" s="2" t="s">
        <v>9</v>
      </c>
      <c r="P425" s="3" t="str">
        <f t="shared" si="1"/>
        <v>Outros Definição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2" t="s">
        <v>8</v>
      </c>
      <c r="H426" s="2" t="s">
        <v>9</v>
      </c>
      <c r="P426" s="3" t="str">
        <f t="shared" si="1"/>
        <v>Outros Definição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2" t="s">
        <v>8</v>
      </c>
      <c r="H427" s="2" t="s">
        <v>9</v>
      </c>
      <c r="P427" s="3" t="str">
        <f t="shared" si="1"/>
        <v>Outros Definição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2" t="s">
        <v>16</v>
      </c>
      <c r="H428" s="2" t="s">
        <v>19</v>
      </c>
      <c r="P428" s="3" t="str">
        <f t="shared" si="1"/>
        <v>Ordenação Linear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2" t="s">
        <v>16</v>
      </c>
      <c r="H429" s="2" t="s">
        <v>19</v>
      </c>
      <c r="P429" s="3" t="str">
        <f t="shared" si="1"/>
        <v>Ordenação Linear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2" t="s">
        <v>16</v>
      </c>
      <c r="H430" s="2" t="s">
        <v>19</v>
      </c>
      <c r="P430" s="3" t="str">
        <f t="shared" si="1"/>
        <v>Ordenação Linear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2" t="s">
        <v>16</v>
      </c>
      <c r="H431" s="2" t="s">
        <v>19</v>
      </c>
      <c r="P431" s="3" t="str">
        <f t="shared" si="1"/>
        <v>Ordenação Linear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2" t="s">
        <v>16</v>
      </c>
      <c r="H432" s="2" t="s">
        <v>19</v>
      </c>
      <c r="P432" s="3" t="str">
        <f t="shared" si="1"/>
        <v>Ordenação Linear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2" t="s">
        <v>16</v>
      </c>
      <c r="H433" s="2" t="s">
        <v>17</v>
      </c>
      <c r="P433" s="3" t="str">
        <f t="shared" si="1"/>
        <v>Ordenação Circular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2" t="s">
        <v>16</v>
      </c>
      <c r="H434" s="2" t="s">
        <v>17</v>
      </c>
      <c r="P434" s="3" t="str">
        <f t="shared" si="1"/>
        <v>Ordenação Circular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2" t="s">
        <v>16</v>
      </c>
      <c r="H435" s="2" t="s">
        <v>17</v>
      </c>
      <c r="P435" s="3" t="str">
        <f t="shared" si="1"/>
        <v>Ordenação Circular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2" t="s">
        <v>16</v>
      </c>
      <c r="H436" s="2" t="s">
        <v>17</v>
      </c>
      <c r="P436" s="3" t="str">
        <f t="shared" si="1"/>
        <v>Ordenação Circular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2" t="s">
        <v>16</v>
      </c>
      <c r="H437" s="2" t="s">
        <v>17</v>
      </c>
      <c r="P437" s="3" t="str">
        <f t="shared" si="1"/>
        <v>Ordenação Circular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2" t="s">
        <v>16</v>
      </c>
      <c r="H438" s="2" t="s">
        <v>17</v>
      </c>
      <c r="P438" s="3" t="str">
        <f t="shared" si="1"/>
        <v>Ordenação Circular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2" t="s">
        <v>8</v>
      </c>
      <c r="H439" s="2" t="s">
        <v>41</v>
      </c>
      <c r="P439" s="3" t="str">
        <f t="shared" si="1"/>
        <v>Outros Grupos Ordenados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2" t="s">
        <v>8</v>
      </c>
      <c r="H440" s="2" t="s">
        <v>41</v>
      </c>
      <c r="P440" s="3" t="str">
        <f t="shared" si="1"/>
        <v>Outros Grupos Ordenados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2" t="s">
        <v>8</v>
      </c>
      <c r="H441" s="2" t="s">
        <v>41</v>
      </c>
      <c r="P441" s="3" t="str">
        <f t="shared" si="1"/>
        <v>Outros Grupos Ordenados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2" t="s">
        <v>8</v>
      </c>
      <c r="H442" s="2" t="s">
        <v>41</v>
      </c>
      <c r="P442" s="3" t="str">
        <f t="shared" si="1"/>
        <v>Outros Grupos Ordenados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2" t="s">
        <v>8</v>
      </c>
      <c r="H443" s="2" t="s">
        <v>41</v>
      </c>
      <c r="P443" s="3" t="str">
        <f t="shared" si="1"/>
        <v>Outros Grupos Ordenados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2" t="s">
        <v>8</v>
      </c>
      <c r="H444" s="2" t="s">
        <v>41</v>
      </c>
      <c r="P444" s="3" t="str">
        <f t="shared" si="1"/>
        <v>Outros Grupos Ordenados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2" t="s">
        <v>16</v>
      </c>
      <c r="H445" s="2" t="s">
        <v>19</v>
      </c>
      <c r="P445" s="3" t="str">
        <f t="shared" si="1"/>
        <v>Ordenação Linear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2" t="s">
        <v>16</v>
      </c>
      <c r="H446" s="2" t="s">
        <v>19</v>
      </c>
      <c r="P446" s="3" t="str">
        <f t="shared" si="1"/>
        <v>Ordenação Linear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2" t="s">
        <v>16</v>
      </c>
      <c r="H447" s="2" t="s">
        <v>19</v>
      </c>
      <c r="P447" s="3" t="str">
        <f t="shared" si="1"/>
        <v>Ordenação Linear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2" t="s">
        <v>16</v>
      </c>
      <c r="H448" s="2" t="s">
        <v>19</v>
      </c>
      <c r="P448" s="3" t="str">
        <f t="shared" si="1"/>
        <v>Ordenação Linear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2" t="s">
        <v>16</v>
      </c>
      <c r="H449" s="2" t="s">
        <v>19</v>
      </c>
      <c r="P449" s="3" t="str">
        <f t="shared" si="1"/>
        <v>Ordenação Linear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2" t="s">
        <v>16</v>
      </c>
      <c r="H450" s="2" t="s">
        <v>19</v>
      </c>
      <c r="P450" s="3" t="str">
        <f t="shared" si="1"/>
        <v>Ordenação Linear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2" t="s">
        <v>16</v>
      </c>
      <c r="H451" s="2" t="s">
        <v>19</v>
      </c>
      <c r="P451" s="3" t="str">
        <f t="shared" si="1"/>
        <v>Ordenação Linear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25"/>
    <col customWidth="1" min="3" max="3" width="15.13"/>
    <col customWidth="1" min="4" max="4" width="14.88"/>
    <col customWidth="1" min="5" max="5" width="19.25"/>
    <col customWidth="1" min="6" max="6" width="22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5" t="s">
        <v>8</v>
      </c>
      <c r="H2" s="4"/>
      <c r="I2" s="6" t="s">
        <v>81</v>
      </c>
      <c r="J2" s="7">
        <v>213.0</v>
      </c>
      <c r="K2" s="8">
        <f t="shared" ref="K2:K4" si="1">ROUND((J2/$J$4)*100,2)%</f>
        <v>0.4733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5" t="s">
        <v>8</v>
      </c>
      <c r="H3" s="4"/>
      <c r="I3" s="9" t="s">
        <v>82</v>
      </c>
      <c r="J3" s="10">
        <v>237.0</v>
      </c>
      <c r="K3" s="11">
        <f t="shared" si="1"/>
        <v>0.5267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5" t="s">
        <v>8</v>
      </c>
      <c r="H4" s="4"/>
      <c r="I4" s="12" t="s">
        <v>83</v>
      </c>
      <c r="J4" s="13">
        <f>SUM(J2:J3)</f>
        <v>450</v>
      </c>
      <c r="K4" s="14">
        <f t="shared" si="1"/>
        <v>1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5" t="s">
        <v>8</v>
      </c>
      <c r="H5" s="4"/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5" t="s">
        <v>8</v>
      </c>
      <c r="H6" s="4"/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5" t="s">
        <v>8</v>
      </c>
      <c r="H7" s="4"/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5" t="s">
        <v>8</v>
      </c>
      <c r="H8" s="4"/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15" t="s">
        <v>8</v>
      </c>
      <c r="H9" s="4"/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15" t="s">
        <v>8</v>
      </c>
      <c r="H10" s="4"/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5" t="s">
        <v>8</v>
      </c>
      <c r="H11" s="4"/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5" t="s">
        <v>16</v>
      </c>
      <c r="H12" s="4"/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15" t="s">
        <v>22</v>
      </c>
      <c r="H13" s="4"/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5" t="s">
        <v>22</v>
      </c>
      <c r="H14" s="4"/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5" t="s">
        <v>22</v>
      </c>
      <c r="H15" s="4"/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5" t="s">
        <v>22</v>
      </c>
      <c r="H16" s="4"/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16" t="s">
        <v>8</v>
      </c>
      <c r="H17" s="4"/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4"/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17" t="s">
        <v>8</v>
      </c>
      <c r="H19" s="4"/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17" t="s">
        <v>8</v>
      </c>
      <c r="H20" s="4"/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5" t="s">
        <v>16</v>
      </c>
      <c r="H21" s="4"/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5" t="s">
        <v>16</v>
      </c>
      <c r="H22" s="4"/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15" t="s">
        <v>22</v>
      </c>
      <c r="H23" s="4"/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5" t="s">
        <v>22</v>
      </c>
      <c r="H24" s="4"/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5" t="s">
        <v>22</v>
      </c>
      <c r="H25" s="4"/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5" t="s">
        <v>22</v>
      </c>
      <c r="H26" s="4"/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5" t="s">
        <v>22</v>
      </c>
      <c r="H27" s="4"/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5" t="s">
        <v>22</v>
      </c>
      <c r="H28" s="4"/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5" t="s">
        <v>22</v>
      </c>
      <c r="H29" s="4"/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5" t="s">
        <v>22</v>
      </c>
      <c r="H30" s="4"/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5" t="s">
        <v>22</v>
      </c>
      <c r="H31" s="4"/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5" t="s">
        <v>8</v>
      </c>
      <c r="H32" s="4"/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5" t="s">
        <v>8</v>
      </c>
      <c r="H33" s="4"/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5" t="s">
        <v>8</v>
      </c>
      <c r="H34" s="4"/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5" t="s">
        <v>8</v>
      </c>
      <c r="H35" s="4"/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15" t="s">
        <v>22</v>
      </c>
      <c r="H36" s="4"/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5" t="s">
        <v>22</v>
      </c>
      <c r="H37" s="4"/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5" t="s">
        <v>22</v>
      </c>
      <c r="H38" s="4"/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5" t="s">
        <v>22</v>
      </c>
      <c r="H39" s="4"/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5" t="s">
        <v>22</v>
      </c>
      <c r="H40" s="4"/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5" t="s">
        <v>22</v>
      </c>
      <c r="H41" s="4"/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5" t="s">
        <v>8</v>
      </c>
      <c r="H42" s="4"/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5" t="s">
        <v>8</v>
      </c>
      <c r="H43" s="4"/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5" t="s">
        <v>8</v>
      </c>
      <c r="H44" s="4"/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5" t="s">
        <v>8</v>
      </c>
      <c r="H45" s="4"/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5" t="s">
        <v>8</v>
      </c>
      <c r="H46" s="4"/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4"/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4"/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7" t="s">
        <v>16</v>
      </c>
      <c r="H49" s="4"/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17" t="s">
        <v>16</v>
      </c>
      <c r="H50" s="4"/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7" t="s">
        <v>16</v>
      </c>
      <c r="H51" s="4"/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16</v>
      </c>
      <c r="H52" s="4"/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17" t="s">
        <v>22</v>
      </c>
      <c r="H53" s="4"/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7" t="s">
        <v>22</v>
      </c>
      <c r="H54" s="4"/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7" t="s">
        <v>22</v>
      </c>
      <c r="H55" s="4"/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7" t="s">
        <v>22</v>
      </c>
      <c r="H56" s="4"/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7" t="s">
        <v>22</v>
      </c>
      <c r="H57" s="4"/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7" t="s">
        <v>22</v>
      </c>
      <c r="H58" s="4"/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7" t="s">
        <v>22</v>
      </c>
      <c r="H59" s="4"/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7" t="s">
        <v>22</v>
      </c>
      <c r="H60" s="4"/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7" t="s">
        <v>22</v>
      </c>
      <c r="H61" s="4"/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22</v>
      </c>
      <c r="H62" s="4"/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22</v>
      </c>
      <c r="H63" s="4"/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22</v>
      </c>
      <c r="H64" s="4"/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22</v>
      </c>
      <c r="H65" s="4"/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22</v>
      </c>
      <c r="H66" s="4"/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5" t="s">
        <v>8</v>
      </c>
      <c r="H67" s="4"/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5" t="s">
        <v>8</v>
      </c>
      <c r="H68" s="4"/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5" t="s">
        <v>8</v>
      </c>
      <c r="H69" s="4"/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5" t="s">
        <v>8</v>
      </c>
      <c r="H70" s="4"/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5" t="s">
        <v>8</v>
      </c>
      <c r="H71" s="4"/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5" t="s">
        <v>8</v>
      </c>
      <c r="H72" s="4"/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15" t="s">
        <v>8</v>
      </c>
      <c r="H73" s="4"/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5" t="s">
        <v>8</v>
      </c>
      <c r="H74" s="4"/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5" t="s">
        <v>8</v>
      </c>
      <c r="H75" s="4"/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5" t="s">
        <v>8</v>
      </c>
      <c r="H76" s="4"/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5" t="s">
        <v>8</v>
      </c>
      <c r="H77" s="4"/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5" t="s">
        <v>8</v>
      </c>
      <c r="H78" s="4"/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5" t="s">
        <v>8</v>
      </c>
      <c r="H79" s="4"/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5" t="s">
        <v>8</v>
      </c>
      <c r="H80" s="4"/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5" t="s">
        <v>8</v>
      </c>
      <c r="H81" s="4"/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5" t="s">
        <v>8</v>
      </c>
      <c r="H82" s="4"/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5" t="s">
        <v>8</v>
      </c>
      <c r="H83" s="4"/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5" t="s">
        <v>8</v>
      </c>
      <c r="H84" s="4"/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5" t="s">
        <v>8</v>
      </c>
      <c r="H85" s="4"/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5" t="s">
        <v>8</v>
      </c>
      <c r="H86" s="4"/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5" t="s">
        <v>8</v>
      </c>
      <c r="H87" s="4"/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5" t="s">
        <v>8</v>
      </c>
      <c r="H88" s="4"/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5" t="s">
        <v>8</v>
      </c>
      <c r="H89" s="4"/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5" t="s">
        <v>8</v>
      </c>
      <c r="H90" s="4"/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15" t="s">
        <v>16</v>
      </c>
      <c r="H91" s="4"/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5" t="s">
        <v>16</v>
      </c>
      <c r="H92" s="4"/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5" t="s">
        <v>16</v>
      </c>
      <c r="H93" s="4"/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5" t="s">
        <v>16</v>
      </c>
      <c r="H94" s="4"/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15" t="s">
        <v>16</v>
      </c>
      <c r="H95" s="4"/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5" t="s">
        <v>16</v>
      </c>
      <c r="H96" s="4"/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5" t="s">
        <v>16</v>
      </c>
      <c r="H97" s="4"/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5" t="s">
        <v>16</v>
      </c>
      <c r="H98" s="4"/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5" t="s">
        <v>22</v>
      </c>
      <c r="H99" s="4"/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5" t="s">
        <v>22</v>
      </c>
      <c r="H100" s="4"/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5" t="s">
        <v>22</v>
      </c>
      <c r="H101" s="4"/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5" t="s">
        <v>22</v>
      </c>
      <c r="H102" s="4"/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5" t="s">
        <v>8</v>
      </c>
      <c r="H103" s="4"/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5" t="s">
        <v>8</v>
      </c>
      <c r="H104" s="4"/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5" t="s">
        <v>8</v>
      </c>
      <c r="H105" s="4"/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5" t="s">
        <v>8</v>
      </c>
      <c r="H106" s="4"/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5" t="s">
        <v>16</v>
      </c>
      <c r="H107" s="4"/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5" t="s">
        <v>16</v>
      </c>
      <c r="H108" s="4"/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5" t="s">
        <v>16</v>
      </c>
      <c r="H109" s="4"/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5" t="s">
        <v>16</v>
      </c>
      <c r="H110" s="4"/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5" t="s">
        <v>16</v>
      </c>
      <c r="H111" s="4"/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5" t="s">
        <v>16</v>
      </c>
      <c r="H112" s="4"/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5" t="s">
        <v>16</v>
      </c>
      <c r="H113" s="4"/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5" t="s">
        <v>8</v>
      </c>
      <c r="H114" s="4"/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5" t="s">
        <v>8</v>
      </c>
      <c r="H115" s="4"/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5" t="s">
        <v>8</v>
      </c>
      <c r="H116" s="4"/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5" t="s">
        <v>16</v>
      </c>
      <c r="H117" s="4"/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5" t="s">
        <v>16</v>
      </c>
      <c r="H118" s="4"/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5" t="s">
        <v>16</v>
      </c>
      <c r="H119" s="4"/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5" t="s">
        <v>16</v>
      </c>
      <c r="H120" s="4"/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5" t="s">
        <v>16</v>
      </c>
      <c r="H121" s="4"/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5" t="s">
        <v>22</v>
      </c>
      <c r="H122" s="4"/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5" t="s">
        <v>22</v>
      </c>
      <c r="H123" s="4"/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5" t="s">
        <v>22</v>
      </c>
      <c r="H124" s="4"/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5" t="s">
        <v>22</v>
      </c>
      <c r="H125" s="4"/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5" t="s">
        <v>22</v>
      </c>
      <c r="H126" s="4"/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5" t="s">
        <v>8</v>
      </c>
      <c r="H127" s="4"/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5" t="s">
        <v>8</v>
      </c>
      <c r="H128" s="4"/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5" t="s">
        <v>8</v>
      </c>
      <c r="H129" s="4"/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5" t="s">
        <v>8</v>
      </c>
      <c r="H130" s="4"/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15" t="s">
        <v>8</v>
      </c>
      <c r="H131" s="4"/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15" t="s">
        <v>16</v>
      </c>
      <c r="H132" s="4"/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15" t="s">
        <v>16</v>
      </c>
      <c r="H133" s="4"/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15" t="s">
        <v>16</v>
      </c>
      <c r="H134" s="4"/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15" t="s">
        <v>16</v>
      </c>
      <c r="H135" s="4"/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15" t="s">
        <v>16</v>
      </c>
      <c r="H136" s="4"/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5" t="s">
        <v>8</v>
      </c>
      <c r="H137" s="4"/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5" t="s">
        <v>8</v>
      </c>
      <c r="H138" s="4"/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5" t="s">
        <v>8</v>
      </c>
      <c r="H139" s="4"/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5" t="s">
        <v>8</v>
      </c>
      <c r="H140" s="4"/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5" t="s">
        <v>8</v>
      </c>
      <c r="H141" s="4"/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5" t="s">
        <v>16</v>
      </c>
      <c r="H142" s="4"/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5" t="s">
        <v>16</v>
      </c>
      <c r="H143" s="4"/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5" t="s">
        <v>16</v>
      </c>
      <c r="H144" s="4"/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5" t="s">
        <v>16</v>
      </c>
      <c r="H145" s="4"/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5" t="s">
        <v>16</v>
      </c>
      <c r="H146" s="4"/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15" t="s">
        <v>16</v>
      </c>
      <c r="H147" s="4"/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15" t="s">
        <v>16</v>
      </c>
      <c r="H148" s="4"/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15" t="s">
        <v>16</v>
      </c>
      <c r="H149" s="4"/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15" t="s">
        <v>16</v>
      </c>
      <c r="H150" s="4"/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5" t="s">
        <v>16</v>
      </c>
      <c r="H151" s="4"/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5" t="s">
        <v>22</v>
      </c>
      <c r="H152" s="4"/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5" t="s">
        <v>22</v>
      </c>
      <c r="H153" s="4"/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5" t="s">
        <v>22</v>
      </c>
      <c r="H154" s="4"/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5" t="s">
        <v>22</v>
      </c>
      <c r="H155" s="4"/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5" t="s">
        <v>22</v>
      </c>
      <c r="H156" s="4"/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5" t="s">
        <v>8</v>
      </c>
      <c r="H157" s="4"/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5" t="s">
        <v>8</v>
      </c>
      <c r="H158" s="4"/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5" t="s">
        <v>8</v>
      </c>
      <c r="H159" s="4"/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15" t="s">
        <v>8</v>
      </c>
      <c r="H160" s="4"/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5" t="s">
        <v>8</v>
      </c>
      <c r="H161" s="4"/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15" t="s">
        <v>8</v>
      </c>
      <c r="H162" s="4"/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15" t="s">
        <v>8</v>
      </c>
      <c r="H163" s="4"/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5" t="s">
        <v>8</v>
      </c>
      <c r="H164" s="4"/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5" t="s">
        <v>8</v>
      </c>
      <c r="H165" s="4"/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5" t="s">
        <v>8</v>
      </c>
      <c r="H166" s="4"/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15" t="s">
        <v>8</v>
      </c>
      <c r="H167" s="4"/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15" t="s">
        <v>8</v>
      </c>
      <c r="H168" s="4"/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15" t="s">
        <v>8</v>
      </c>
      <c r="H169" s="4"/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15" t="s">
        <v>8</v>
      </c>
      <c r="H170" s="4"/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15" t="s">
        <v>8</v>
      </c>
      <c r="H171" s="4"/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5" t="s">
        <v>16</v>
      </c>
      <c r="H172" s="4"/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15" t="s">
        <v>16</v>
      </c>
      <c r="H173" s="4"/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15" t="s">
        <v>16</v>
      </c>
      <c r="H174" s="4"/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15" t="s">
        <v>16</v>
      </c>
      <c r="H175" s="4"/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15" t="s">
        <v>16</v>
      </c>
      <c r="H176" s="4"/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5" t="s">
        <v>8</v>
      </c>
      <c r="H177" s="4"/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5" t="s">
        <v>8</v>
      </c>
      <c r="H178" s="4"/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5" t="s">
        <v>8</v>
      </c>
      <c r="H179" s="4"/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5" t="s">
        <v>8</v>
      </c>
      <c r="H180" s="4"/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5" t="s">
        <v>8</v>
      </c>
      <c r="H181" s="4"/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5" t="s">
        <v>16</v>
      </c>
      <c r="H182" s="4"/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5" t="s">
        <v>16</v>
      </c>
      <c r="H183" s="4"/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5" t="s">
        <v>16</v>
      </c>
      <c r="H184" s="4"/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5" t="s">
        <v>16</v>
      </c>
      <c r="H185" s="4"/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5" t="s">
        <v>16</v>
      </c>
      <c r="H186" s="4"/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5" t="s">
        <v>16</v>
      </c>
      <c r="H187" s="4"/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5" t="s">
        <v>16</v>
      </c>
      <c r="H188" s="4"/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5" t="s">
        <v>16</v>
      </c>
      <c r="H189" s="4"/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5" t="s">
        <v>16</v>
      </c>
      <c r="H190" s="4"/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5" t="s">
        <v>16</v>
      </c>
      <c r="H191" s="4"/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5" t="s">
        <v>8</v>
      </c>
      <c r="H192" s="4"/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5" t="s">
        <v>8</v>
      </c>
      <c r="H193" s="4"/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5" t="s">
        <v>8</v>
      </c>
      <c r="H194" s="4"/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5" t="s">
        <v>8</v>
      </c>
      <c r="H195" s="4"/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5" t="s">
        <v>8</v>
      </c>
      <c r="H196" s="4"/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5" t="s">
        <v>8</v>
      </c>
      <c r="H197" s="4"/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5" t="s">
        <v>8</v>
      </c>
      <c r="H198" s="4"/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5" t="s">
        <v>8</v>
      </c>
      <c r="H199" s="4"/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5" t="s">
        <v>8</v>
      </c>
      <c r="H200" s="4"/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15" t="s">
        <v>8</v>
      </c>
      <c r="H201" s="4"/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5" t="s">
        <v>8</v>
      </c>
      <c r="H202" s="4"/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5" t="s">
        <v>8</v>
      </c>
      <c r="H203" s="4"/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5" t="s">
        <v>8</v>
      </c>
      <c r="H204" s="4"/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5" t="s">
        <v>8</v>
      </c>
      <c r="H205" s="4"/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5" t="s">
        <v>8</v>
      </c>
      <c r="H206" s="4"/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5" t="s">
        <v>16</v>
      </c>
      <c r="H207" s="4"/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15" t="s">
        <v>16</v>
      </c>
      <c r="H208" s="4"/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15" t="s">
        <v>16</v>
      </c>
      <c r="H209" s="4"/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15" t="s">
        <v>16</v>
      </c>
      <c r="H210" s="4"/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15" t="s">
        <v>16</v>
      </c>
      <c r="H211" s="4"/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5" t="s">
        <v>8</v>
      </c>
      <c r="H212" s="4"/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5" t="s">
        <v>8</v>
      </c>
      <c r="H213" s="4"/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5" t="s">
        <v>8</v>
      </c>
      <c r="H214" s="4"/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5" t="s">
        <v>8</v>
      </c>
      <c r="H215" s="4"/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5" t="s">
        <v>8</v>
      </c>
      <c r="H216" s="4"/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5" t="s">
        <v>16</v>
      </c>
      <c r="H217" s="4"/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5" t="s">
        <v>16</v>
      </c>
      <c r="H218" s="4"/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5" t="s">
        <v>16</v>
      </c>
      <c r="H219" s="4"/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5" t="s">
        <v>16</v>
      </c>
      <c r="H220" s="4"/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5" t="s">
        <v>16</v>
      </c>
      <c r="H221" s="4"/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5" t="s">
        <v>22</v>
      </c>
      <c r="H222" s="4"/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5" t="s">
        <v>22</v>
      </c>
      <c r="H223" s="4"/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5" t="s">
        <v>22</v>
      </c>
      <c r="H224" s="4"/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5" t="s">
        <v>22</v>
      </c>
      <c r="H225" s="4"/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5" t="s">
        <v>22</v>
      </c>
      <c r="H226" s="4"/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5" t="s">
        <v>22</v>
      </c>
      <c r="H227" s="4"/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5" t="s">
        <v>22</v>
      </c>
      <c r="H228" s="4"/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5" t="s">
        <v>8</v>
      </c>
      <c r="H229" s="4"/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5" t="s">
        <v>8</v>
      </c>
      <c r="H230" s="4"/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4"/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5" t="s">
        <v>8</v>
      </c>
      <c r="H232" s="4"/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5" t="s">
        <v>8</v>
      </c>
      <c r="H233" s="4"/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5" t="s">
        <v>8</v>
      </c>
      <c r="H234" s="4"/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5" t="s">
        <v>8</v>
      </c>
      <c r="H235" s="4"/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5" t="s">
        <v>8</v>
      </c>
      <c r="H236" s="4"/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4"/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4"/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4"/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4"/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4"/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5" t="s">
        <v>22</v>
      </c>
      <c r="H242" s="4"/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5" t="s">
        <v>8</v>
      </c>
      <c r="H243" s="4"/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5" t="s">
        <v>8</v>
      </c>
      <c r="H244" s="4"/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4"/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5" t="s">
        <v>8</v>
      </c>
      <c r="H246" s="4"/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5" t="s">
        <v>8</v>
      </c>
      <c r="H247" s="4"/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4"/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4"/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4"/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4"/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4"/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4"/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4"/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4"/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4"/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5" t="s">
        <v>22</v>
      </c>
      <c r="H257" s="4"/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5" t="s">
        <v>8</v>
      </c>
      <c r="H258" s="4"/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5" t="s">
        <v>8</v>
      </c>
      <c r="H259" s="4"/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4"/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4"/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4"/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4"/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4"/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4"/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4"/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4"/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4"/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5" t="s">
        <v>8</v>
      </c>
      <c r="H269" s="4"/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5" t="s">
        <v>8</v>
      </c>
      <c r="H270" s="4"/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5" t="s">
        <v>8</v>
      </c>
      <c r="H271" s="4"/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4"/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4"/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4"/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5" t="s">
        <v>8</v>
      </c>
      <c r="H275" s="4"/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5" t="s">
        <v>8</v>
      </c>
      <c r="H276" s="4"/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4"/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4"/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4"/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4"/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4"/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5" t="s">
        <v>8</v>
      </c>
      <c r="H282" s="4"/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5" t="s">
        <v>8</v>
      </c>
      <c r="H283" s="4"/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5" t="s">
        <v>8</v>
      </c>
      <c r="H284" s="4"/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15" t="s">
        <v>22</v>
      </c>
      <c r="H285" s="4"/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15" t="s">
        <v>22</v>
      </c>
      <c r="H286" s="4"/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15" t="s">
        <v>22</v>
      </c>
      <c r="H287" s="4"/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15" t="s">
        <v>8</v>
      </c>
      <c r="H288" s="4"/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15" t="s">
        <v>8</v>
      </c>
      <c r="H289" s="4"/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15" t="s">
        <v>8</v>
      </c>
      <c r="H290" s="4"/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15" t="s">
        <v>8</v>
      </c>
      <c r="H291" s="4"/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4"/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5" t="s">
        <v>8</v>
      </c>
      <c r="H293" s="4"/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5" t="s">
        <v>8</v>
      </c>
      <c r="H294" s="4"/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4"/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4"/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5" t="s">
        <v>8</v>
      </c>
      <c r="H297" s="4"/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4"/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4"/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4"/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5" t="s">
        <v>8</v>
      </c>
      <c r="H301" s="4"/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4"/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4"/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5" t="s">
        <v>8</v>
      </c>
      <c r="H304" s="4"/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5" t="s">
        <v>8</v>
      </c>
      <c r="H305" s="4"/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5" t="s">
        <v>8</v>
      </c>
      <c r="H306" s="4"/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5" t="s">
        <v>8</v>
      </c>
      <c r="H307" s="4"/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15" t="s">
        <v>16</v>
      </c>
      <c r="H308" s="4"/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15" t="s">
        <v>16</v>
      </c>
      <c r="H309" s="4"/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15" t="s">
        <v>16</v>
      </c>
      <c r="H310" s="4"/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15" t="s">
        <v>16</v>
      </c>
      <c r="H311" s="4"/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5" t="s">
        <v>8</v>
      </c>
      <c r="H312" s="4"/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5" t="s">
        <v>8</v>
      </c>
      <c r="H313" s="4"/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15" t="s">
        <v>22</v>
      </c>
      <c r="H314" s="4"/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15" t="s">
        <v>22</v>
      </c>
      <c r="H315" s="4"/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15" t="s">
        <v>22</v>
      </c>
      <c r="H316" s="4"/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5" t="s">
        <v>8</v>
      </c>
      <c r="H317" s="4"/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5" t="s">
        <v>8</v>
      </c>
      <c r="H318" s="4"/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5" t="s">
        <v>8</v>
      </c>
      <c r="H319" s="4"/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5" t="s">
        <v>8</v>
      </c>
      <c r="H320" s="4"/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5" t="s">
        <v>8</v>
      </c>
      <c r="H321" s="4"/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5" t="s">
        <v>8</v>
      </c>
      <c r="H322" s="4"/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5" t="s">
        <v>8</v>
      </c>
      <c r="H323" s="4"/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15" t="s">
        <v>16</v>
      </c>
      <c r="H324" s="4"/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15" t="s">
        <v>16</v>
      </c>
      <c r="H325" s="4"/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15" t="s">
        <v>16</v>
      </c>
      <c r="H326" s="4"/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15" t="s">
        <v>16</v>
      </c>
      <c r="H327" s="4"/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15" t="s">
        <v>8</v>
      </c>
      <c r="H328" s="4"/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15" t="s">
        <v>8</v>
      </c>
      <c r="H329" s="4"/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15" t="s">
        <v>8</v>
      </c>
      <c r="H330" s="4"/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15" t="s">
        <v>8</v>
      </c>
      <c r="H331" s="4"/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15" t="s">
        <v>22</v>
      </c>
      <c r="H332" s="4"/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15" t="s">
        <v>22</v>
      </c>
      <c r="H333" s="4"/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15" t="s">
        <v>22</v>
      </c>
      <c r="H334" s="4"/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15" t="s">
        <v>22</v>
      </c>
      <c r="H335" s="4"/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4"/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4"/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15" t="s">
        <v>8</v>
      </c>
      <c r="H338" s="4"/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15" t="s">
        <v>8</v>
      </c>
      <c r="H339" s="4"/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4"/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4"/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4"/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4"/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15" t="s">
        <v>22</v>
      </c>
      <c r="H344" s="4"/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15" t="s">
        <v>22</v>
      </c>
      <c r="H345" s="4"/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15" t="s">
        <v>22</v>
      </c>
      <c r="H346" s="4"/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15" t="s">
        <v>22</v>
      </c>
      <c r="H347" s="4"/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15" t="s">
        <v>22</v>
      </c>
      <c r="H348" s="4"/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15" t="s">
        <v>22</v>
      </c>
      <c r="H349" s="4"/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15" t="s">
        <v>22</v>
      </c>
      <c r="H350" s="4"/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15" t="s">
        <v>22</v>
      </c>
      <c r="H351" s="4"/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15" t="s">
        <v>22</v>
      </c>
      <c r="H352" s="4"/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15" t="s">
        <v>22</v>
      </c>
      <c r="H353" s="4"/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15" t="s">
        <v>22</v>
      </c>
      <c r="H354" s="4"/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15" t="s">
        <v>22</v>
      </c>
      <c r="H355" s="4"/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5" t="s">
        <v>8</v>
      </c>
      <c r="H356" s="4"/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5" t="s">
        <v>8</v>
      </c>
      <c r="H357" s="4"/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5" t="s">
        <v>8</v>
      </c>
      <c r="H358" s="4"/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5" t="s">
        <v>8</v>
      </c>
      <c r="H359" s="4"/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5" t="s">
        <v>8</v>
      </c>
      <c r="H360" s="4"/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5" t="s">
        <v>8</v>
      </c>
      <c r="H361" s="4"/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4"/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4"/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15" t="s">
        <v>8</v>
      </c>
      <c r="H364" s="4"/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15" t="s">
        <v>8</v>
      </c>
      <c r="H365" s="4"/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4"/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4"/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4"/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4"/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4"/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4"/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4"/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4"/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4"/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4"/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4"/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5" t="s">
        <v>8</v>
      </c>
      <c r="H377" s="4"/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4"/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4"/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5" t="s">
        <v>8</v>
      </c>
      <c r="H380" s="4"/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5" t="s">
        <v>8</v>
      </c>
      <c r="H381" s="4"/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5" t="s">
        <v>8</v>
      </c>
      <c r="H382" s="4"/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5" t="s">
        <v>8</v>
      </c>
      <c r="H383" s="4"/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15" t="s">
        <v>22</v>
      </c>
      <c r="H384" s="4"/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15" t="s">
        <v>22</v>
      </c>
      <c r="H385" s="4"/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15" t="s">
        <v>22</v>
      </c>
      <c r="H386" s="4"/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15" t="s">
        <v>22</v>
      </c>
      <c r="H387" s="4"/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15" t="s">
        <v>22</v>
      </c>
      <c r="H388" s="4"/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15" t="s">
        <v>22</v>
      </c>
      <c r="H389" s="4"/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15" t="s">
        <v>22</v>
      </c>
      <c r="H390" s="4"/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15" t="s">
        <v>22</v>
      </c>
      <c r="H391" s="4"/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15" t="s">
        <v>22</v>
      </c>
      <c r="H392" s="4"/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15" t="s">
        <v>22</v>
      </c>
      <c r="H393" s="4"/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15" t="s">
        <v>22</v>
      </c>
      <c r="H394" s="4"/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15" t="s">
        <v>22</v>
      </c>
      <c r="H395" s="4"/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5" t="s">
        <v>8</v>
      </c>
      <c r="H396" s="4"/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5" t="s">
        <v>8</v>
      </c>
      <c r="H397" s="4"/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5" t="s">
        <v>8</v>
      </c>
      <c r="H398" s="4"/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5" t="s">
        <v>8</v>
      </c>
      <c r="H399" s="4"/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5" t="s">
        <v>8</v>
      </c>
      <c r="H400" s="4"/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5" t="s">
        <v>8</v>
      </c>
      <c r="H401" s="4"/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15" t="s">
        <v>8</v>
      </c>
      <c r="H402" s="4"/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15" t="s">
        <v>8</v>
      </c>
      <c r="H403" s="4"/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4"/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4"/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4"/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4"/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4"/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5" t="s">
        <v>8</v>
      </c>
      <c r="H409" s="4"/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4"/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4"/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5" t="s">
        <v>8</v>
      </c>
      <c r="H412" s="4"/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5" t="s">
        <v>8</v>
      </c>
      <c r="H413" s="4"/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5" t="s">
        <v>8</v>
      </c>
      <c r="H414" s="4"/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5" t="s">
        <v>8</v>
      </c>
      <c r="H415" s="4"/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4"/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4"/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4"/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4"/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4"/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4"/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4"/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4"/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4"/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4"/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4"/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4"/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15" t="s">
        <v>22</v>
      </c>
      <c r="H428" s="4"/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15" t="s">
        <v>22</v>
      </c>
      <c r="H429" s="4"/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15" t="s">
        <v>22</v>
      </c>
      <c r="H430" s="4"/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15" t="s">
        <v>22</v>
      </c>
      <c r="H431" s="4"/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15" t="s">
        <v>22</v>
      </c>
      <c r="H432" s="4"/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5" t="s">
        <v>22</v>
      </c>
      <c r="H433" s="4"/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5" t="s">
        <v>22</v>
      </c>
      <c r="H434" s="4"/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5" t="s">
        <v>22</v>
      </c>
      <c r="H435" s="4"/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5" t="s">
        <v>22</v>
      </c>
      <c r="H436" s="4"/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5" t="s">
        <v>22</v>
      </c>
      <c r="H437" s="4"/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5" t="s">
        <v>22</v>
      </c>
      <c r="H438" s="4"/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5" t="s">
        <v>8</v>
      </c>
      <c r="H439" s="4"/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5" t="s">
        <v>8</v>
      </c>
      <c r="H440" s="4"/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5" t="s">
        <v>8</v>
      </c>
      <c r="H441" s="4"/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5" t="s">
        <v>8</v>
      </c>
      <c r="H442" s="4"/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5" t="s">
        <v>8</v>
      </c>
      <c r="H443" s="4"/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5" t="s">
        <v>8</v>
      </c>
      <c r="H444" s="4"/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15" t="s">
        <v>22</v>
      </c>
      <c r="H445" s="4"/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15" t="s">
        <v>22</v>
      </c>
      <c r="H446" s="4"/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15" t="s">
        <v>22</v>
      </c>
      <c r="H447" s="4"/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15" t="s">
        <v>22</v>
      </c>
      <c r="H448" s="4"/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15" t="s">
        <v>22</v>
      </c>
      <c r="H449" s="4"/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15" t="s">
        <v>22</v>
      </c>
      <c r="H450" s="4"/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15" t="s">
        <v>22</v>
      </c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autoFilter ref="$B$1:$G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25"/>
    <col customWidth="1" min="3" max="3" width="15.13"/>
    <col customWidth="1" min="4" max="4" width="14.88"/>
    <col customWidth="1" min="5" max="5" width="19.25"/>
    <col customWidth="1" min="6" max="6" width="22.5"/>
    <col customWidth="1" min="8" max="8" width="14.6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16" t="s">
        <v>8</v>
      </c>
      <c r="H2" s="16" t="s">
        <v>9</v>
      </c>
      <c r="J2" s="6" t="s">
        <v>81</v>
      </c>
      <c r="K2" s="7">
        <v>122.0</v>
      </c>
      <c r="L2" s="8">
        <f t="shared" ref="L2:L5" si="1">ROUND((K2/$K$5)*100,2)%</f>
        <v>0.2711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16" t="s">
        <v>8</v>
      </c>
      <c r="H3" s="16" t="s">
        <v>9</v>
      </c>
      <c r="J3" s="18" t="s">
        <v>84</v>
      </c>
      <c r="K3" s="19">
        <v>114.0</v>
      </c>
      <c r="L3" s="8">
        <f t="shared" si="1"/>
        <v>0.2533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17" t="s">
        <v>22</v>
      </c>
      <c r="H4" s="17" t="s">
        <v>45</v>
      </c>
      <c r="J4" s="9" t="s">
        <v>82</v>
      </c>
      <c r="K4" s="10">
        <v>214.0</v>
      </c>
      <c r="L4" s="8">
        <f t="shared" si="1"/>
        <v>0.4756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0" t="s">
        <v>8</v>
      </c>
      <c r="H5" s="20" t="s">
        <v>9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17" t="s">
        <v>16</v>
      </c>
      <c r="H6" s="17" t="s">
        <v>58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20" t="s">
        <v>8</v>
      </c>
      <c r="H7" s="20" t="s">
        <v>9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7" t="s">
        <v>8</v>
      </c>
      <c r="H8" s="17" t="s">
        <v>9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0" t="s">
        <v>16</v>
      </c>
      <c r="H9" s="20" t="s">
        <v>58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0" t="s">
        <v>16</v>
      </c>
      <c r="H10" s="20" t="s">
        <v>58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6" t="s">
        <v>16</v>
      </c>
      <c r="H11" s="16" t="s">
        <v>17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20" t="s">
        <v>16</v>
      </c>
      <c r="H12" s="20" t="s">
        <v>58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20" t="s">
        <v>16</v>
      </c>
      <c r="H13" s="20" t="s">
        <v>58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7" t="s">
        <v>8</v>
      </c>
      <c r="H14" s="17" t="s">
        <v>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7" t="s">
        <v>8</v>
      </c>
      <c r="H15" s="17" t="s">
        <v>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7" t="s">
        <v>8</v>
      </c>
      <c r="H16" s="17" t="s">
        <v>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20" t="s">
        <v>8</v>
      </c>
      <c r="H17" s="20" t="s">
        <v>9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17" t="s">
        <v>9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0" t="s">
        <v>16</v>
      </c>
      <c r="H19" s="20" t="s">
        <v>58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0" t="s">
        <v>16</v>
      </c>
      <c r="H20" s="20" t="s">
        <v>58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16" t="s">
        <v>16</v>
      </c>
      <c r="H21" s="16" t="s">
        <v>17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20" t="s">
        <v>16</v>
      </c>
      <c r="H22" s="20" t="s">
        <v>58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20" t="s">
        <v>16</v>
      </c>
      <c r="H23" s="20" t="s">
        <v>58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7" t="s">
        <v>8</v>
      </c>
      <c r="H24" s="17" t="s">
        <v>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7" t="s">
        <v>8</v>
      </c>
      <c r="H25" s="17" t="s">
        <v>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7" t="s">
        <v>8</v>
      </c>
      <c r="H26" s="17" t="s">
        <v>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7" t="s">
        <v>22</v>
      </c>
      <c r="H27" s="17" t="s">
        <v>85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17" t="s">
        <v>8</v>
      </c>
      <c r="H28" s="17" t="s">
        <v>9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17" t="s">
        <v>8</v>
      </c>
      <c r="H29" s="17" t="s">
        <v>9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17" t="s">
        <v>8</v>
      </c>
      <c r="H30" s="17" t="s">
        <v>9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17" t="s">
        <v>8</v>
      </c>
      <c r="H31" s="17" t="s">
        <v>12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17" t="s">
        <v>22</v>
      </c>
      <c r="H32" s="17" t="s">
        <v>85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16" t="s">
        <v>8</v>
      </c>
      <c r="H33" s="16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16" t="s">
        <v>8</v>
      </c>
      <c r="H34" s="21" t="s">
        <v>12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16" t="s">
        <v>8</v>
      </c>
      <c r="H35" s="21" t="s">
        <v>12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20" t="s">
        <v>16</v>
      </c>
      <c r="H36" s="20" t="s">
        <v>58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7" t="s">
        <v>22</v>
      </c>
      <c r="H37" s="17" t="s">
        <v>85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17" t="s">
        <v>8</v>
      </c>
      <c r="H38" s="17" t="s">
        <v>9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17" t="s">
        <v>8</v>
      </c>
      <c r="H39" s="17" t="s">
        <v>9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17" t="s">
        <v>8</v>
      </c>
      <c r="H40" s="17" t="s">
        <v>9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17" t="s">
        <v>8</v>
      </c>
      <c r="H41" s="17" t="s">
        <v>12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2" t="s">
        <v>22</v>
      </c>
      <c r="H42" s="22" t="s">
        <v>45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2" t="s">
        <v>22</v>
      </c>
      <c r="H43" s="22" t="s">
        <v>45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2" t="s">
        <v>22</v>
      </c>
      <c r="H44" s="22" t="s">
        <v>45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0" t="s">
        <v>8</v>
      </c>
      <c r="H45" s="20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0" t="s">
        <v>8</v>
      </c>
      <c r="H46" s="20" t="s">
        <v>12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6" t="s">
        <v>8</v>
      </c>
      <c r="H47" s="21" t="s">
        <v>12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6" t="s">
        <v>8</v>
      </c>
      <c r="H48" s="21" t="s">
        <v>12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0" t="s">
        <v>8</v>
      </c>
      <c r="H50" s="20" t="s">
        <v>12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6" t="s">
        <v>8</v>
      </c>
      <c r="H51" s="16" t="s">
        <v>12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16</v>
      </c>
      <c r="H52" s="17" t="s">
        <v>58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20" t="s">
        <v>16</v>
      </c>
      <c r="H53" s="20" t="s">
        <v>58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7" t="s">
        <v>8</v>
      </c>
      <c r="H54" s="17" t="s">
        <v>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7" t="s">
        <v>8</v>
      </c>
      <c r="H55" s="17" t="s">
        <v>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7" t="s">
        <v>8</v>
      </c>
      <c r="H56" s="17" t="s">
        <v>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6" t="s">
        <v>16</v>
      </c>
      <c r="H57" s="21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7" t="s">
        <v>8</v>
      </c>
      <c r="H58" s="17" t="s">
        <v>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7" t="s">
        <v>8</v>
      </c>
      <c r="H59" s="17" t="s">
        <v>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7" t="s">
        <v>8</v>
      </c>
      <c r="H60" s="17" t="s">
        <v>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7" t="s">
        <v>22</v>
      </c>
      <c r="H61" s="17" t="s">
        <v>85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8</v>
      </c>
      <c r="H62" s="17" t="s">
        <v>9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8</v>
      </c>
      <c r="H63" s="17" t="s">
        <v>9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8</v>
      </c>
      <c r="H64" s="17" t="s">
        <v>9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8</v>
      </c>
      <c r="H65" s="17" t="s">
        <v>9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8</v>
      </c>
      <c r="H66" s="17" t="s">
        <v>9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6" t="s">
        <v>8</v>
      </c>
      <c r="H67" s="21" t="s">
        <v>12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16" t="s">
        <v>8</v>
      </c>
      <c r="H68" s="21" t="s">
        <v>12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16" t="s">
        <v>8</v>
      </c>
      <c r="H69" s="16" t="s">
        <v>9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16" t="s">
        <v>8</v>
      </c>
      <c r="H71" s="16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17" t="s">
        <v>16</v>
      </c>
      <c r="H72" s="17" t="s">
        <v>58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20" t="s">
        <v>16</v>
      </c>
      <c r="H73" s="20" t="s">
        <v>58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7" t="s">
        <v>8</v>
      </c>
      <c r="H74" s="17" t="s">
        <v>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7" t="s">
        <v>8</v>
      </c>
      <c r="H75" s="17" t="s">
        <v>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7" t="s">
        <v>22</v>
      </c>
      <c r="H76" s="17" t="s">
        <v>85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7" t="s">
        <v>8</v>
      </c>
      <c r="H77" s="17" t="s">
        <v>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7" t="s">
        <v>8</v>
      </c>
      <c r="H78" s="17" t="s">
        <v>9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7" t="s">
        <v>8</v>
      </c>
      <c r="H79" s="17" t="s">
        <v>9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7" t="s">
        <v>8</v>
      </c>
      <c r="H80" s="17" t="s">
        <v>9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7" t="s">
        <v>8</v>
      </c>
      <c r="H81" s="17" t="s">
        <v>9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6" t="s">
        <v>16</v>
      </c>
      <c r="H82" s="21" t="s">
        <v>19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</v>
      </c>
      <c r="H83" s="17" t="s">
        <v>9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6" t="s">
        <v>8</v>
      </c>
      <c r="H87" s="21" t="s">
        <v>12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20" t="s">
        <v>8</v>
      </c>
      <c r="H88" s="20" t="s">
        <v>9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16" t="s">
        <v>8</v>
      </c>
      <c r="H89" s="16" t="s">
        <v>9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16</v>
      </c>
      <c r="H90" s="20" t="s">
        <v>58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20" t="s">
        <v>16</v>
      </c>
      <c r="H91" s="20" t="s">
        <v>58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7" t="s">
        <v>8</v>
      </c>
      <c r="H92" s="17" t="s">
        <v>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7" t="s">
        <v>8</v>
      </c>
      <c r="H93" s="17" t="s">
        <v>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7" t="s">
        <v>8</v>
      </c>
      <c r="H94" s="17" t="s">
        <v>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20" t="s">
        <v>16</v>
      </c>
      <c r="H95" s="23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7" t="s">
        <v>8</v>
      </c>
      <c r="H96" s="17" t="s">
        <v>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7" t="s">
        <v>8</v>
      </c>
      <c r="H97" s="17" t="s">
        <v>9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7" t="s">
        <v>22</v>
      </c>
      <c r="H98" s="17" t="s">
        <v>85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7" t="s">
        <v>8</v>
      </c>
      <c r="H99" s="17" t="s">
        <v>9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7" t="s">
        <v>8</v>
      </c>
      <c r="H100" s="17" t="s">
        <v>9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7" t="s">
        <v>8</v>
      </c>
      <c r="H101" s="17" t="s">
        <v>9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7" t="s">
        <v>8</v>
      </c>
      <c r="H102" s="17" t="s">
        <v>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6" t="s">
        <v>16</v>
      </c>
      <c r="H103" s="21" t="s">
        <v>19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</v>
      </c>
      <c r="H104" s="17" t="s">
        <v>9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7" t="s">
        <v>8</v>
      </c>
      <c r="H105" s="17" t="s">
        <v>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7" t="s">
        <v>8</v>
      </c>
      <c r="H106" s="17" t="s">
        <v>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6" t="s">
        <v>8</v>
      </c>
      <c r="H107" s="16" t="s">
        <v>12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6" t="s">
        <v>8</v>
      </c>
      <c r="H108" s="16" t="s">
        <v>12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6" t="s">
        <v>8</v>
      </c>
      <c r="H109" s="16" t="s">
        <v>12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6" t="s">
        <v>8</v>
      </c>
      <c r="H110" s="16" t="s">
        <v>12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6" t="s">
        <v>8</v>
      </c>
      <c r="H111" s="16" t="s">
        <v>12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6" t="s">
        <v>8</v>
      </c>
      <c r="H112" s="16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6" t="s">
        <v>8</v>
      </c>
      <c r="H113" s="16" t="s">
        <v>9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16" t="s">
        <v>8</v>
      </c>
      <c r="H114" s="21" t="s">
        <v>12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16" t="s">
        <v>8</v>
      </c>
      <c r="H115" s="21" t="s">
        <v>12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16" t="s">
        <v>8</v>
      </c>
      <c r="H116" s="16" t="s">
        <v>12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17" t="s">
        <v>8</v>
      </c>
      <c r="H117" s="17" t="s">
        <v>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17" t="s">
        <v>8</v>
      </c>
      <c r="H118" s="17" t="s">
        <v>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17" t="s">
        <v>8</v>
      </c>
      <c r="H119" s="17" t="s">
        <v>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20" t="s">
        <v>16</v>
      </c>
      <c r="H120" s="20" t="s">
        <v>58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17" t="s">
        <v>8</v>
      </c>
      <c r="H121" s="17" t="s">
        <v>12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7" t="s">
        <v>8</v>
      </c>
      <c r="H122" s="17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7" t="s">
        <v>8</v>
      </c>
      <c r="H123" s="17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7" t="s">
        <v>8</v>
      </c>
      <c r="H124" s="17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7" t="s">
        <v>8</v>
      </c>
      <c r="H125" s="17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7" t="s">
        <v>8</v>
      </c>
      <c r="H126" s="17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7" t="s">
        <v>8</v>
      </c>
      <c r="H127" s="17" t="s">
        <v>9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7" t="s">
        <v>8</v>
      </c>
      <c r="H128" s="17" t="s">
        <v>9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7" t="s">
        <v>8</v>
      </c>
      <c r="H129" s="17" t="s">
        <v>9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7" t="s">
        <v>8</v>
      </c>
      <c r="H130" s="17" t="s">
        <v>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20" t="s">
        <v>16</v>
      </c>
      <c r="H131" s="20" t="s">
        <v>58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17" t="s">
        <v>16</v>
      </c>
      <c r="H132" s="17" t="s">
        <v>58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0" t="s">
        <v>8</v>
      </c>
      <c r="H136" s="20" t="s">
        <v>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16" t="s">
        <v>8</v>
      </c>
      <c r="H137" s="16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16" t="s">
        <v>8</v>
      </c>
      <c r="H138" s="16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16" t="s">
        <v>8</v>
      </c>
      <c r="H139" s="21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16" t="s">
        <v>8</v>
      </c>
      <c r="H140" s="21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16" t="s">
        <v>8</v>
      </c>
      <c r="H141" s="16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17" t="s">
        <v>8</v>
      </c>
      <c r="H142" s="17" t="s">
        <v>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17" t="s">
        <v>8</v>
      </c>
      <c r="H143" s="17" t="s">
        <v>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17" t="s">
        <v>8</v>
      </c>
      <c r="H144" s="17" t="s">
        <v>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20" t="s">
        <v>16</v>
      </c>
      <c r="H145" s="20" t="s">
        <v>58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20" t="s">
        <v>16</v>
      </c>
      <c r="H146" s="20" t="s">
        <v>58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0" t="s">
        <v>8</v>
      </c>
      <c r="H147" s="20" t="s">
        <v>9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0" t="s">
        <v>8</v>
      </c>
      <c r="H148" s="20" t="s">
        <v>9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0" t="s">
        <v>8</v>
      </c>
      <c r="H149" s="20" t="s">
        <v>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0" t="s">
        <v>8</v>
      </c>
      <c r="H150" s="20" t="s">
        <v>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20" t="s">
        <v>8</v>
      </c>
      <c r="H151" s="20" t="s">
        <v>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7" t="s">
        <v>8</v>
      </c>
      <c r="H152" s="17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7" t="s">
        <v>8</v>
      </c>
      <c r="H153" s="17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7" t="s">
        <v>8</v>
      </c>
      <c r="H154" s="17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7" t="s">
        <v>8</v>
      </c>
      <c r="H155" s="17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7" t="s">
        <v>8</v>
      </c>
      <c r="H156" s="17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7" t="s">
        <v>8</v>
      </c>
      <c r="H157" s="17" t="s">
        <v>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7" t="s">
        <v>8</v>
      </c>
      <c r="H158" s="17" t="s">
        <v>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7" t="s">
        <v>8</v>
      </c>
      <c r="H159" s="17" t="s">
        <v>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23" t="s">
        <v>16</v>
      </c>
      <c r="H160" s="23" t="s">
        <v>58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7" t="s">
        <v>8</v>
      </c>
      <c r="H161" s="17" t="s">
        <v>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21" t="s">
        <v>22</v>
      </c>
      <c r="H162" s="21" t="s">
        <v>86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21" t="s">
        <v>22</v>
      </c>
      <c r="H163" s="21" t="s">
        <v>86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7" t="s">
        <v>8</v>
      </c>
      <c r="H164" s="17" t="s">
        <v>9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7" t="s">
        <v>8</v>
      </c>
      <c r="H165" s="17" t="s">
        <v>9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7" t="s">
        <v>16</v>
      </c>
      <c r="H166" s="17" t="s">
        <v>58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17" t="s">
        <v>8</v>
      </c>
      <c r="H167" s="17" t="s">
        <v>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17" t="s">
        <v>8</v>
      </c>
      <c r="H168" s="17" t="s">
        <v>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17" t="s">
        <v>8</v>
      </c>
      <c r="H169" s="17" t="s">
        <v>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17" t="s">
        <v>8</v>
      </c>
      <c r="H170" s="17" t="s">
        <v>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20" t="s">
        <v>16</v>
      </c>
      <c r="H171" s="20" t="s">
        <v>58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7" t="s">
        <v>16</v>
      </c>
      <c r="H172" s="17" t="s">
        <v>58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0" t="s">
        <v>8</v>
      </c>
      <c r="H173" s="20" t="s">
        <v>9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0" t="s">
        <v>8</v>
      </c>
      <c r="H174" s="20" t="s">
        <v>9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0" t="s">
        <v>8</v>
      </c>
      <c r="H175" s="20" t="s">
        <v>9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0" t="s">
        <v>8</v>
      </c>
      <c r="H176" s="20" t="s">
        <v>9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16" t="s">
        <v>8</v>
      </c>
      <c r="H177" s="21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16" t="s">
        <v>8</v>
      </c>
      <c r="H178" s="21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17" t="s">
        <v>16</v>
      </c>
      <c r="H179" s="17" t="s">
        <v>58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16" t="s">
        <v>8</v>
      </c>
      <c r="H180" s="16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16" t="s">
        <v>8</v>
      </c>
      <c r="H181" s="16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6" t="s">
        <v>8</v>
      </c>
      <c r="H182" s="16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6" t="s">
        <v>8</v>
      </c>
      <c r="H183" s="16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6" t="s">
        <v>8</v>
      </c>
      <c r="H184" s="16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6" t="s">
        <v>8</v>
      </c>
      <c r="H185" s="16" t="s">
        <v>12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6" t="s">
        <v>8</v>
      </c>
      <c r="H186" s="16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17" t="s">
        <v>8</v>
      </c>
      <c r="H187" s="17" t="s">
        <v>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17" t="s">
        <v>8</v>
      </c>
      <c r="H188" s="17" t="s">
        <v>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17" t="s">
        <v>8</v>
      </c>
      <c r="H189" s="17" t="s">
        <v>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16" t="s">
        <v>16</v>
      </c>
      <c r="H190" s="21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17" t="s">
        <v>8</v>
      </c>
      <c r="H191" s="17" t="s">
        <v>12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7" t="s">
        <v>8</v>
      </c>
      <c r="H192" s="17" t="s">
        <v>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7" t="s">
        <v>8</v>
      </c>
      <c r="H193" s="17" t="s">
        <v>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7" t="s">
        <v>8</v>
      </c>
      <c r="H194" s="17" t="s">
        <v>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7" t="s">
        <v>8</v>
      </c>
      <c r="H195" s="17" t="s">
        <v>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7" t="s">
        <v>8</v>
      </c>
      <c r="H196" s="17" t="s">
        <v>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7" t="s">
        <v>8</v>
      </c>
      <c r="H197" s="17" t="s">
        <v>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7" t="s">
        <v>8</v>
      </c>
      <c r="H198" s="17" t="s">
        <v>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7" t="s">
        <v>8</v>
      </c>
      <c r="H199" s="17" t="s">
        <v>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7" t="s">
        <v>8</v>
      </c>
      <c r="H200" s="17" t="s">
        <v>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20" t="s">
        <v>16</v>
      </c>
      <c r="H201" s="20" t="s">
        <v>58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7" t="s">
        <v>8</v>
      </c>
      <c r="H202" s="17" t="s">
        <v>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7" t="s">
        <v>8</v>
      </c>
      <c r="H203" s="17" t="s">
        <v>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7" t="s">
        <v>8</v>
      </c>
      <c r="H204" s="17" t="s">
        <v>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7" t="s">
        <v>8</v>
      </c>
      <c r="H205" s="17" t="s">
        <v>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6" t="s">
        <v>16</v>
      </c>
      <c r="H206" s="21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7" t="s">
        <v>16</v>
      </c>
      <c r="H207" s="17" t="s">
        <v>58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0" t="s">
        <v>8</v>
      </c>
      <c r="H208" s="20" t="s">
        <v>9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0" t="s">
        <v>8</v>
      </c>
      <c r="H209" s="20" t="s">
        <v>9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0" t="s">
        <v>8</v>
      </c>
      <c r="H210" s="20" t="s">
        <v>9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0" t="s">
        <v>8</v>
      </c>
      <c r="H211" s="20" t="s">
        <v>9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7" t="s">
        <v>8</v>
      </c>
      <c r="H212" s="17" t="s">
        <v>9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7" t="s">
        <v>8</v>
      </c>
      <c r="H213" s="17" t="s">
        <v>9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7" t="s">
        <v>8</v>
      </c>
      <c r="H214" s="17" t="s">
        <v>9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7" t="s">
        <v>8</v>
      </c>
      <c r="H215" s="17" t="s">
        <v>9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7" t="s">
        <v>16</v>
      </c>
      <c r="H216" s="17" t="s">
        <v>58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20" t="s">
        <v>8</v>
      </c>
      <c r="H217" s="20" t="s">
        <v>9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20" t="s">
        <v>8</v>
      </c>
      <c r="H218" s="20" t="s">
        <v>9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20" t="s">
        <v>8</v>
      </c>
      <c r="H219" s="20" t="s">
        <v>9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20" t="s">
        <v>8</v>
      </c>
      <c r="H220" s="20" t="s">
        <v>9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20" t="s">
        <v>8</v>
      </c>
      <c r="H221" s="20" t="s">
        <v>9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8</v>
      </c>
      <c r="H222" s="17" t="s">
        <v>9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8</v>
      </c>
      <c r="H223" s="17" t="s">
        <v>9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8</v>
      </c>
      <c r="H224" s="17" t="s">
        <v>9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8</v>
      </c>
      <c r="H225" s="17" t="s">
        <v>9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8</v>
      </c>
      <c r="H226" s="17" t="s">
        <v>9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0" t="s">
        <v>22</v>
      </c>
      <c r="H227" s="20" t="s">
        <v>85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17" t="s">
        <v>16</v>
      </c>
      <c r="H228" s="17" t="s">
        <v>58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16" t="s">
        <v>8</v>
      </c>
      <c r="H229" s="21" t="s">
        <v>12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17" t="s">
        <v>16</v>
      </c>
      <c r="H230" s="17" t="s">
        <v>58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17" t="s">
        <v>22</v>
      </c>
      <c r="H231" s="17" t="s">
        <v>45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17" t="s">
        <v>16</v>
      </c>
      <c r="H232" s="17" t="s">
        <v>58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17" t="s">
        <v>16</v>
      </c>
      <c r="H233" s="17" t="s">
        <v>58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17" t="s">
        <v>16</v>
      </c>
      <c r="H234" s="17" t="s">
        <v>58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16" t="s">
        <v>8</v>
      </c>
      <c r="H235" s="21" t="s">
        <v>12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16" t="s">
        <v>8</v>
      </c>
      <c r="H236" s="16" t="s">
        <v>12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16" t="s">
        <v>8</v>
      </c>
      <c r="H237" s="16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16" t="s">
        <v>8</v>
      </c>
      <c r="H238" s="16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17" t="s">
        <v>16</v>
      </c>
      <c r="H239" s="17" t="s">
        <v>58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17" t="s">
        <v>16</v>
      </c>
      <c r="H240" s="17" t="s">
        <v>58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16" t="s">
        <v>8</v>
      </c>
      <c r="H241" s="16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17" t="s">
        <v>16</v>
      </c>
      <c r="H242" s="17" t="s">
        <v>58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16" t="s">
        <v>8</v>
      </c>
      <c r="H243" s="21" t="s">
        <v>12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17" t="s">
        <v>16</v>
      </c>
      <c r="H244" s="17" t="s">
        <v>58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17" t="s">
        <v>16</v>
      </c>
      <c r="H245" s="17" t="s">
        <v>58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16" t="s">
        <v>8</v>
      </c>
      <c r="H246" s="21" t="s">
        <v>12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16" t="s">
        <v>8</v>
      </c>
      <c r="H247" s="21" t="s">
        <v>12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17" t="s">
        <v>16</v>
      </c>
      <c r="H248" s="17" t="s">
        <v>58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16" t="s">
        <v>8</v>
      </c>
      <c r="H249" s="16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16" t="s">
        <v>8</v>
      </c>
      <c r="H250" s="16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16" t="s">
        <v>8</v>
      </c>
      <c r="H251" s="16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16" t="s">
        <v>8</v>
      </c>
      <c r="H252" s="16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21" t="s">
        <v>16</v>
      </c>
      <c r="H253" s="21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21" t="s">
        <v>16</v>
      </c>
      <c r="H254" s="21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23" t="s">
        <v>16</v>
      </c>
      <c r="H255" s="23" t="s">
        <v>58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21" t="s">
        <v>16</v>
      </c>
      <c r="H256" s="21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17" t="s">
        <v>16</v>
      </c>
      <c r="H257" s="17" t="s">
        <v>58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17" t="s">
        <v>16</v>
      </c>
      <c r="H258" s="17" t="s">
        <v>58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17" t="s">
        <v>22</v>
      </c>
      <c r="H259" s="17" t="s">
        <v>45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16" t="s">
        <v>8</v>
      </c>
      <c r="H260" s="16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16" t="s">
        <v>8</v>
      </c>
      <c r="H261" s="16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16" t="s">
        <v>8</v>
      </c>
      <c r="H262" s="16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16" t="s">
        <v>8</v>
      </c>
      <c r="H263" s="16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16" t="s">
        <v>8</v>
      </c>
      <c r="H264" s="16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21" t="s">
        <v>16</v>
      </c>
      <c r="H265" s="21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21" t="s">
        <v>16</v>
      </c>
      <c r="H266" s="21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21" t="s">
        <v>16</v>
      </c>
      <c r="H267" s="21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23" t="s">
        <v>16</v>
      </c>
      <c r="H268" s="23" t="s">
        <v>58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6" t="s">
        <v>16</v>
      </c>
      <c r="H269" s="16" t="s">
        <v>58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6" t="s">
        <v>16</v>
      </c>
      <c r="H270" s="16" t="s">
        <v>58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6" t="s">
        <v>16</v>
      </c>
      <c r="H271" s="16" t="s">
        <v>58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17" t="s">
        <v>16</v>
      </c>
      <c r="H272" s="17" t="s">
        <v>19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16" t="s">
        <v>8</v>
      </c>
      <c r="H273" s="16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16" t="s">
        <v>8</v>
      </c>
      <c r="H274" s="16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17" t="s">
        <v>16</v>
      </c>
      <c r="H275" s="17" t="s">
        <v>58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1" t="s">
        <v>8</v>
      </c>
      <c r="H276" s="21" t="s">
        <v>9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16" t="s">
        <v>8</v>
      </c>
      <c r="H277" s="21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16" t="s">
        <v>8</v>
      </c>
      <c r="H278" s="21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16" t="s">
        <v>8</v>
      </c>
      <c r="H279" s="21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16" t="s">
        <v>8</v>
      </c>
      <c r="H280" s="16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20" t="s">
        <v>8</v>
      </c>
      <c r="H281" s="20" t="s">
        <v>12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16" t="s">
        <v>8</v>
      </c>
      <c r="H282" s="16" t="s">
        <v>12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16" t="s">
        <v>8</v>
      </c>
      <c r="H283" s="21" t="s">
        <v>9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16" t="s">
        <v>8</v>
      </c>
      <c r="H284" s="21" t="s">
        <v>9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17" t="s">
        <v>16</v>
      </c>
      <c r="H285" s="17" t="s">
        <v>58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17" t="s">
        <v>16</v>
      </c>
      <c r="H286" s="17" t="s">
        <v>58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17" t="s">
        <v>16</v>
      </c>
      <c r="H287" s="17" t="s">
        <v>58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17" t="s">
        <v>8</v>
      </c>
      <c r="H288" s="17" t="s">
        <v>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17" t="s">
        <v>8</v>
      </c>
      <c r="H289" s="17" t="s">
        <v>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17" t="s">
        <v>8</v>
      </c>
      <c r="H290" s="17" t="s">
        <v>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17" t="s">
        <v>8</v>
      </c>
      <c r="H291" s="17" t="s">
        <v>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16" t="s">
        <v>8</v>
      </c>
      <c r="H292" s="16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16" t="s">
        <v>8</v>
      </c>
      <c r="H293" s="21" t="s">
        <v>9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0" t="s">
        <v>8</v>
      </c>
      <c r="H294" s="20" t="s">
        <v>9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16" t="s">
        <v>8</v>
      </c>
      <c r="H295" s="16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16" t="s">
        <v>8</v>
      </c>
      <c r="H296" s="16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16" t="s">
        <v>8</v>
      </c>
      <c r="H297" s="16" t="s">
        <v>9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16" t="s">
        <v>8</v>
      </c>
      <c r="H298" s="16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16" t="s">
        <v>8</v>
      </c>
      <c r="H299" s="16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20" t="s">
        <v>8</v>
      </c>
      <c r="H300" s="20" t="s">
        <v>12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16" t="s">
        <v>8</v>
      </c>
      <c r="H301" s="16" t="s">
        <v>12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20" t="s">
        <v>8</v>
      </c>
      <c r="H302" s="20" t="s">
        <v>12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21" t="s">
        <v>8</v>
      </c>
      <c r="H303" s="21" t="s">
        <v>9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17" t="s">
        <v>16</v>
      </c>
      <c r="H304" s="17" t="s">
        <v>58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16" t="s">
        <v>8</v>
      </c>
      <c r="H305" s="16" t="s">
        <v>12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20" t="s">
        <v>8</v>
      </c>
      <c r="H306" s="20" t="s">
        <v>9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16" t="s">
        <v>8</v>
      </c>
      <c r="H307" s="16" t="s">
        <v>12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17" t="s">
        <v>8</v>
      </c>
      <c r="H308" s="17" t="s">
        <v>9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17" t="s">
        <v>8</v>
      </c>
      <c r="H309" s="17" t="s">
        <v>9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17" t="s">
        <v>8</v>
      </c>
      <c r="H310" s="17" t="s">
        <v>9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17" t="s">
        <v>8</v>
      </c>
      <c r="H311" s="17" t="s">
        <v>9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3" t="s">
        <v>8</v>
      </c>
      <c r="H312" s="23" t="s">
        <v>12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0" t="s">
        <v>8</v>
      </c>
      <c r="H313" s="20" t="s">
        <v>9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17" t="s">
        <v>16</v>
      </c>
      <c r="H314" s="17" t="s">
        <v>58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17" t="s">
        <v>16</v>
      </c>
      <c r="H315" s="17" t="s">
        <v>58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17" t="s">
        <v>16</v>
      </c>
      <c r="H316" s="17" t="s">
        <v>58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16" t="s">
        <v>8</v>
      </c>
      <c r="H317" s="16" t="s">
        <v>12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0" t="s">
        <v>8</v>
      </c>
      <c r="H318" s="20" t="s">
        <v>12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1" t="s">
        <v>8</v>
      </c>
      <c r="H319" s="21" t="s">
        <v>9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17" t="s">
        <v>16</v>
      </c>
      <c r="H320" s="17" t="s">
        <v>58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16" t="s">
        <v>8</v>
      </c>
      <c r="H321" s="16" t="s">
        <v>12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20" t="s">
        <v>8</v>
      </c>
      <c r="H322" s="20" t="s">
        <v>9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16" t="s">
        <v>8</v>
      </c>
      <c r="H323" s="16" t="s">
        <v>12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17" t="s">
        <v>8</v>
      </c>
      <c r="H324" s="17" t="s">
        <v>9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17" t="s">
        <v>8</v>
      </c>
      <c r="H325" s="17" t="s">
        <v>9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17" t="s">
        <v>8</v>
      </c>
      <c r="H326" s="17" t="s">
        <v>9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17" t="s">
        <v>8</v>
      </c>
      <c r="H327" s="17" t="s">
        <v>9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3" t="s">
        <v>16</v>
      </c>
      <c r="H328" s="23" t="s">
        <v>58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3" t="s">
        <v>16</v>
      </c>
      <c r="H329" s="23" t="s">
        <v>58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3" t="s">
        <v>16</v>
      </c>
      <c r="H330" s="23" t="s">
        <v>58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3" t="s">
        <v>16</v>
      </c>
      <c r="H331" s="23" t="s">
        <v>58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17" t="s">
        <v>22</v>
      </c>
      <c r="H332" s="17" t="s">
        <v>85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17" t="s">
        <v>22</v>
      </c>
      <c r="H333" s="17" t="s">
        <v>45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16" t="s">
        <v>8</v>
      </c>
      <c r="H334" s="21" t="s">
        <v>12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16" t="s">
        <v>8</v>
      </c>
      <c r="H335" s="21" t="s">
        <v>12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20" t="s">
        <v>8</v>
      </c>
      <c r="H336" s="20" t="s">
        <v>12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17" t="s">
        <v>22</v>
      </c>
      <c r="H337" s="17" t="s">
        <v>85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17" t="s">
        <v>8</v>
      </c>
      <c r="H338" s="17" t="s">
        <v>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21" t="s">
        <v>16</v>
      </c>
      <c r="H339" s="21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20" t="s">
        <v>8</v>
      </c>
      <c r="H340" s="20" t="s">
        <v>9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20" t="s">
        <v>8</v>
      </c>
      <c r="H341" s="20" t="s">
        <v>9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20" t="s">
        <v>8</v>
      </c>
      <c r="H342" s="20" t="s">
        <v>9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20" t="s">
        <v>8</v>
      </c>
      <c r="H343" s="20" t="s">
        <v>9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16" t="s">
        <v>16</v>
      </c>
      <c r="H344" s="21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17" t="s">
        <v>8</v>
      </c>
      <c r="H345" s="17" t="s">
        <v>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17" t="s">
        <v>8</v>
      </c>
      <c r="H346" s="17" t="s">
        <v>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17" t="s">
        <v>8</v>
      </c>
      <c r="H347" s="17" t="s">
        <v>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17" t="s">
        <v>22</v>
      </c>
      <c r="H348" s="17" t="s">
        <v>85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17" t="s">
        <v>22</v>
      </c>
      <c r="H349" s="17" t="s">
        <v>85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17" t="s">
        <v>8</v>
      </c>
      <c r="H350" s="17" t="s">
        <v>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17" t="s">
        <v>22</v>
      </c>
      <c r="H351" s="17" t="s">
        <v>45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17" t="s">
        <v>8</v>
      </c>
      <c r="H352" s="17" t="s">
        <v>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17" t="s">
        <v>8</v>
      </c>
      <c r="H353" s="17" t="s">
        <v>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17" t="s">
        <v>8</v>
      </c>
      <c r="H354" s="17" t="s">
        <v>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17" t="s">
        <v>8</v>
      </c>
      <c r="H355" s="17" t="s">
        <v>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20" t="s">
        <v>8</v>
      </c>
      <c r="H356" s="20" t="s">
        <v>9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20" t="s">
        <v>8</v>
      </c>
      <c r="H357" s="20" t="s">
        <v>9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20" t="s">
        <v>8</v>
      </c>
      <c r="H358" s="20" t="s">
        <v>9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20" t="s">
        <v>8</v>
      </c>
      <c r="H359" s="20" t="s">
        <v>9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20" t="s">
        <v>8</v>
      </c>
      <c r="H360" s="20" t="s">
        <v>9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20" t="s">
        <v>8</v>
      </c>
      <c r="H361" s="20" t="s">
        <v>9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20" t="s">
        <v>8</v>
      </c>
      <c r="H362" s="20" t="s">
        <v>12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17" t="s">
        <v>22</v>
      </c>
      <c r="H363" s="17" t="s">
        <v>85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17" t="s">
        <v>8</v>
      </c>
      <c r="H364" s="17" t="s">
        <v>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21" t="s">
        <v>16</v>
      </c>
      <c r="H365" s="21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17" t="s">
        <v>22</v>
      </c>
      <c r="H366" s="17" t="s">
        <v>85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17" t="s">
        <v>22</v>
      </c>
      <c r="H367" s="17" t="s">
        <v>85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20" t="s">
        <v>8</v>
      </c>
      <c r="H368" s="20" t="s">
        <v>9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20" t="s">
        <v>8</v>
      </c>
      <c r="H369" s="20" t="s">
        <v>9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20" t="s">
        <v>8</v>
      </c>
      <c r="H370" s="20" t="s">
        <v>9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20" t="s">
        <v>8</v>
      </c>
      <c r="H371" s="20" t="s">
        <v>9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16" t="s">
        <v>8</v>
      </c>
      <c r="H372" s="16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16" t="s">
        <v>8</v>
      </c>
      <c r="H373" s="16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16" t="s">
        <v>8</v>
      </c>
      <c r="H374" s="16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20" t="s">
        <v>8</v>
      </c>
      <c r="H375" s="20" t="s">
        <v>9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20" t="s">
        <v>8</v>
      </c>
      <c r="H376" s="20" t="s">
        <v>9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0" t="s">
        <v>8</v>
      </c>
      <c r="H377" s="20" t="s">
        <v>9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20" t="s">
        <v>8</v>
      </c>
      <c r="H378" s="20" t="s">
        <v>9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17" t="s">
        <v>16</v>
      </c>
      <c r="H379" s="17" t="s">
        <v>58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16" t="s">
        <v>8</v>
      </c>
      <c r="H380" s="21" t="s">
        <v>12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16" t="s">
        <v>8</v>
      </c>
      <c r="H381" s="21" t="s">
        <v>12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16" t="s">
        <v>8</v>
      </c>
      <c r="H382" s="21" t="s">
        <v>12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16" t="s">
        <v>8</v>
      </c>
      <c r="H383" s="21" t="s">
        <v>12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16" t="s">
        <v>16</v>
      </c>
      <c r="H384" s="21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20" t="s">
        <v>16</v>
      </c>
      <c r="H385" s="20" t="s">
        <v>58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17" t="s">
        <v>8</v>
      </c>
      <c r="H386" s="17" t="s">
        <v>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17" t="s">
        <v>8</v>
      </c>
      <c r="H387" s="17" t="s">
        <v>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17" t="s">
        <v>22</v>
      </c>
      <c r="H388" s="17" t="s">
        <v>85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17" t="s">
        <v>22</v>
      </c>
      <c r="H389" s="17" t="s">
        <v>85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17" t="s">
        <v>8</v>
      </c>
      <c r="H390" s="17" t="s">
        <v>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17" t="s">
        <v>22</v>
      </c>
      <c r="H391" s="17" t="s">
        <v>45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17" t="s">
        <v>8</v>
      </c>
      <c r="H392" s="17" t="s">
        <v>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17" t="s">
        <v>8</v>
      </c>
      <c r="H393" s="17" t="s">
        <v>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17" t="s">
        <v>8</v>
      </c>
      <c r="H394" s="17" t="s">
        <v>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17" t="s">
        <v>8</v>
      </c>
      <c r="H395" s="17" t="s">
        <v>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20" t="s">
        <v>8</v>
      </c>
      <c r="H396" s="20" t="s">
        <v>9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20" t="s">
        <v>8</v>
      </c>
      <c r="H397" s="20" t="s">
        <v>9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20" t="s">
        <v>8</v>
      </c>
      <c r="H398" s="20" t="s">
        <v>9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20" t="s">
        <v>8</v>
      </c>
      <c r="H399" s="20" t="s">
        <v>9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20" t="s">
        <v>8</v>
      </c>
      <c r="H400" s="20" t="s">
        <v>9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20" t="s">
        <v>8</v>
      </c>
      <c r="H401" s="20" t="s">
        <v>9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17" t="s">
        <v>8</v>
      </c>
      <c r="H402" s="17" t="s">
        <v>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21" t="s">
        <v>16</v>
      </c>
      <c r="H403" s="21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17" t="s">
        <v>22</v>
      </c>
      <c r="H404" s="17" t="s">
        <v>85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17" t="s">
        <v>22</v>
      </c>
      <c r="H405" s="17" t="s">
        <v>85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21" t="s">
        <v>8</v>
      </c>
      <c r="H406" s="21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21" t="s">
        <v>8</v>
      </c>
      <c r="H407" s="21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20" t="s">
        <v>8</v>
      </c>
      <c r="H408" s="20" t="s">
        <v>9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0" t="s">
        <v>8</v>
      </c>
      <c r="H409" s="20" t="s">
        <v>9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20" t="s">
        <v>8</v>
      </c>
      <c r="H410" s="20" t="s">
        <v>9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17" t="s">
        <v>16</v>
      </c>
      <c r="H411" s="17" t="s">
        <v>58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0" t="s">
        <v>8</v>
      </c>
      <c r="H412" s="20" t="s">
        <v>9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0" t="s">
        <v>8</v>
      </c>
      <c r="H413" s="20" t="s">
        <v>9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0" t="s">
        <v>8</v>
      </c>
      <c r="H414" s="20" t="s">
        <v>9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16" t="s">
        <v>8</v>
      </c>
      <c r="H415" s="16" t="s">
        <v>12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20" t="s">
        <v>8</v>
      </c>
      <c r="H416" s="20" t="s">
        <v>9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20" t="s">
        <v>8</v>
      </c>
      <c r="H417" s="20" t="s">
        <v>9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20" t="s">
        <v>8</v>
      </c>
      <c r="H418" s="20" t="s">
        <v>9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20" t="s">
        <v>8</v>
      </c>
      <c r="H419" s="20" t="s">
        <v>9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16" t="s">
        <v>8</v>
      </c>
      <c r="H420" s="16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16" t="s">
        <v>8</v>
      </c>
      <c r="H421" s="16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16" t="s">
        <v>8</v>
      </c>
      <c r="H422" s="16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16" t="s">
        <v>8</v>
      </c>
      <c r="H423" s="16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20" t="s">
        <v>8</v>
      </c>
      <c r="H424" s="20" t="s">
        <v>12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20" t="s">
        <v>8</v>
      </c>
      <c r="H425" s="20" t="s">
        <v>12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20" t="s">
        <v>8</v>
      </c>
      <c r="H426" s="20" t="s">
        <v>12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20" t="s">
        <v>8</v>
      </c>
      <c r="H427" s="20" t="s">
        <v>12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20" t="s">
        <v>16</v>
      </c>
      <c r="H428" s="20" t="s">
        <v>58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17" t="s">
        <v>8</v>
      </c>
      <c r="H429" s="17" t="s">
        <v>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17" t="s">
        <v>8</v>
      </c>
      <c r="H430" s="17" t="s">
        <v>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17" t="s">
        <v>8</v>
      </c>
      <c r="H431" s="17" t="s">
        <v>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16" t="s">
        <v>16</v>
      </c>
      <c r="H432" s="21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8</v>
      </c>
      <c r="H433" s="17" t="s">
        <v>9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8</v>
      </c>
      <c r="H434" s="17" t="s">
        <v>9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8</v>
      </c>
      <c r="H435" s="17" t="s">
        <v>9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8</v>
      </c>
      <c r="H436" s="17" t="s">
        <v>9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8</v>
      </c>
      <c r="H437" s="17" t="s">
        <v>9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8</v>
      </c>
      <c r="H438" s="17" t="s">
        <v>9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20" t="s">
        <v>8</v>
      </c>
      <c r="H439" s="20" t="s">
        <v>9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20" t="s">
        <v>8</v>
      </c>
      <c r="H440" s="20" t="s">
        <v>9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20" t="s">
        <v>8</v>
      </c>
      <c r="H441" s="20" t="s">
        <v>9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20" t="s">
        <v>8</v>
      </c>
      <c r="H442" s="20" t="s">
        <v>9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20" t="s">
        <v>8</v>
      </c>
      <c r="H443" s="20" t="s">
        <v>9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85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17" t="s">
        <v>22</v>
      </c>
      <c r="H445" s="17" t="s">
        <v>85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17" t="s">
        <v>8</v>
      </c>
      <c r="H446" s="17" t="s">
        <v>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17" t="s">
        <v>22</v>
      </c>
      <c r="H447" s="17" t="s">
        <v>45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17" t="s">
        <v>8</v>
      </c>
      <c r="H448" s="17" t="s">
        <v>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17" t="s">
        <v>8</v>
      </c>
      <c r="H449" s="17" t="s">
        <v>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17" t="s">
        <v>8</v>
      </c>
      <c r="H450" s="17" t="s">
        <v>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17" t="s">
        <v>8</v>
      </c>
      <c r="H451" s="17" t="s">
        <v>9</v>
      </c>
    </row>
  </sheetData>
  <autoFilter ref="$B$1:$H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20" t="s">
        <v>8</v>
      </c>
      <c r="H2" s="20" t="s">
        <v>12</v>
      </c>
      <c r="J2" s="6" t="s">
        <v>81</v>
      </c>
      <c r="K2" s="7">
        <v>274.0</v>
      </c>
      <c r="L2" s="8">
        <f t="shared" ref="L2:L5" si="1">ROUND((K2/$K$5)*100,2)%</f>
        <v>0.6089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16" t="s">
        <v>8</v>
      </c>
      <c r="H3" s="16" t="s">
        <v>9</v>
      </c>
      <c r="J3" s="18" t="s">
        <v>84</v>
      </c>
      <c r="K3" s="19">
        <v>52.0</v>
      </c>
      <c r="L3" s="8">
        <f t="shared" si="1"/>
        <v>0.1156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16" t="s">
        <v>8</v>
      </c>
      <c r="H4" s="16" t="s">
        <v>12</v>
      </c>
      <c r="J4" s="9" t="s">
        <v>82</v>
      </c>
      <c r="K4" s="10">
        <v>124.0</v>
      </c>
      <c r="L4" s="8">
        <f t="shared" si="1"/>
        <v>0.2756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0" t="s">
        <v>8</v>
      </c>
      <c r="H5" s="20" t="s">
        <v>9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0" t="s">
        <v>8</v>
      </c>
      <c r="H6" s="20" t="s">
        <v>9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16" t="s">
        <v>8</v>
      </c>
      <c r="H7" s="16" t="s">
        <v>12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7" t="s">
        <v>8</v>
      </c>
      <c r="H8" s="17" t="s">
        <v>41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17" t="s">
        <v>8</v>
      </c>
      <c r="H9" s="17" t="s">
        <v>41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17" t="s">
        <v>8</v>
      </c>
      <c r="H10" s="17" t="s">
        <v>41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7" t="s">
        <v>8</v>
      </c>
      <c r="H11" s="17" t="s">
        <v>41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16" t="s">
        <v>16</v>
      </c>
      <c r="H12" s="16" t="s">
        <v>19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16" t="s">
        <v>16</v>
      </c>
      <c r="H13" s="16" t="s">
        <v>19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6" t="s">
        <v>16</v>
      </c>
      <c r="H14" s="16" t="s">
        <v>19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6" t="s">
        <v>16</v>
      </c>
      <c r="H15" s="16" t="s">
        <v>19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6" t="s">
        <v>16</v>
      </c>
      <c r="H16" s="16" t="s">
        <v>19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16" t="s">
        <v>8</v>
      </c>
      <c r="H17" s="16" t="s">
        <v>12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17" t="s">
        <v>12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17" t="s">
        <v>8</v>
      </c>
      <c r="H19" s="17" t="s">
        <v>9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17" t="s">
        <v>8</v>
      </c>
      <c r="H20" s="17" t="s">
        <v>9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17" t="s">
        <v>8</v>
      </c>
      <c r="H21" s="17" t="s">
        <v>12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17" t="s">
        <v>8</v>
      </c>
      <c r="H22" s="17" t="s">
        <v>12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16" t="s">
        <v>16</v>
      </c>
      <c r="H23" s="16" t="s">
        <v>19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6" t="s">
        <v>16</v>
      </c>
      <c r="H24" s="16" t="s">
        <v>19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6" t="s">
        <v>16</v>
      </c>
      <c r="H25" s="16" t="s">
        <v>19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6" t="s">
        <v>16</v>
      </c>
      <c r="H26" s="16" t="s">
        <v>19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6" t="s">
        <v>8</v>
      </c>
      <c r="H27" s="16" t="s">
        <v>9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17" t="s">
        <v>16</v>
      </c>
      <c r="H28" s="17" t="s">
        <v>19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17" t="s">
        <v>16</v>
      </c>
      <c r="H29" s="17" t="s">
        <v>19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17" t="s">
        <v>16</v>
      </c>
      <c r="H30" s="17" t="s">
        <v>19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17" t="s">
        <v>16</v>
      </c>
      <c r="H31" s="17" t="s">
        <v>19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17" t="s">
        <v>16</v>
      </c>
      <c r="H32" s="17" t="s">
        <v>19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16" t="s">
        <v>8</v>
      </c>
      <c r="H33" s="16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0" t="s">
        <v>8</v>
      </c>
      <c r="H34" s="20" t="s">
        <v>9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0" t="s">
        <v>8</v>
      </c>
      <c r="H35" s="20" t="s">
        <v>9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16" t="s">
        <v>16</v>
      </c>
      <c r="H36" s="16" t="s">
        <v>19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7" t="s">
        <v>8</v>
      </c>
      <c r="H37" s="17" t="s">
        <v>12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17" t="s">
        <v>8</v>
      </c>
      <c r="H38" s="17" t="s">
        <v>12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17" t="s">
        <v>8</v>
      </c>
      <c r="H39" s="17" t="s">
        <v>12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17" t="s">
        <v>8</v>
      </c>
      <c r="H40" s="17" t="s">
        <v>12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17" t="s">
        <v>8</v>
      </c>
      <c r="H41" s="17" t="s">
        <v>12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3" t="s">
        <v>8</v>
      </c>
      <c r="H42" s="23" t="s">
        <v>12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3" t="s">
        <v>8</v>
      </c>
      <c r="H43" s="23" t="s">
        <v>12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3" t="s">
        <v>8</v>
      </c>
      <c r="H44" s="23" t="s">
        <v>12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3" t="s">
        <v>8</v>
      </c>
      <c r="H45" s="23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3" t="s">
        <v>8</v>
      </c>
      <c r="H46" s="23" t="s">
        <v>12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17" t="s">
        <v>19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17" t="s">
        <v>19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16" t="s">
        <v>8</v>
      </c>
      <c r="H50" s="16" t="s">
        <v>9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7" t="s">
        <v>16</v>
      </c>
      <c r="H51" s="17" t="s">
        <v>19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22</v>
      </c>
      <c r="H52" s="17" t="s">
        <v>45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16" t="s">
        <v>16</v>
      </c>
      <c r="H53" s="16" t="s">
        <v>19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6" t="s">
        <v>16</v>
      </c>
      <c r="H54" s="16" t="s">
        <v>19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6" t="s">
        <v>16</v>
      </c>
      <c r="H55" s="16" t="s">
        <v>19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6" t="s">
        <v>16</v>
      </c>
      <c r="H56" s="16" t="s">
        <v>19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6" t="s">
        <v>16</v>
      </c>
      <c r="H57" s="16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6" t="s">
        <v>16</v>
      </c>
      <c r="H58" s="16" t="s">
        <v>19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6" t="s">
        <v>16</v>
      </c>
      <c r="H59" s="16" t="s">
        <v>19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6" t="s">
        <v>16</v>
      </c>
      <c r="H60" s="16" t="s">
        <v>19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6" t="s">
        <v>16</v>
      </c>
      <c r="H61" s="16" t="s">
        <v>19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8</v>
      </c>
      <c r="H62" s="17" t="s">
        <v>41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8</v>
      </c>
      <c r="H63" s="17" t="s">
        <v>41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8</v>
      </c>
      <c r="H64" s="17" t="s">
        <v>41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8</v>
      </c>
      <c r="H65" s="17" t="s">
        <v>41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8</v>
      </c>
      <c r="H66" s="17" t="s">
        <v>41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6" t="s">
        <v>8</v>
      </c>
      <c r="H67" s="16" t="s">
        <v>12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20" t="s">
        <v>8</v>
      </c>
      <c r="H68" s="20" t="s">
        <v>41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20" t="s">
        <v>8</v>
      </c>
      <c r="H69" s="20" t="s">
        <v>12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16" t="s">
        <v>8</v>
      </c>
      <c r="H71" s="16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16" t="s">
        <v>8</v>
      </c>
      <c r="H72" s="16" t="s">
        <v>12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16" t="s">
        <v>16</v>
      </c>
      <c r="H73" s="16" t="s">
        <v>19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6" t="s">
        <v>16</v>
      </c>
      <c r="H74" s="16" t="s">
        <v>19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6" t="s">
        <v>16</v>
      </c>
      <c r="H75" s="16" t="s">
        <v>19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6" t="s">
        <v>16</v>
      </c>
      <c r="H76" s="16" t="s">
        <v>19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7" t="s">
        <v>8</v>
      </c>
      <c r="H77" s="17" t="s">
        <v>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7" t="s">
        <v>22</v>
      </c>
      <c r="H78" s="17" t="s">
        <v>23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7" t="s">
        <v>22</v>
      </c>
      <c r="H79" s="17" t="s">
        <v>23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7" t="s">
        <v>22</v>
      </c>
      <c r="H80" s="17" t="s">
        <v>23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7" t="s">
        <v>22</v>
      </c>
      <c r="H81" s="17" t="s">
        <v>23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7" t="s">
        <v>8</v>
      </c>
      <c r="H82" s="17" t="s">
        <v>12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</v>
      </c>
      <c r="H83" s="17" t="s">
        <v>12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6" t="s">
        <v>8</v>
      </c>
      <c r="H87" s="16" t="s">
        <v>12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17" t="s">
        <v>16</v>
      </c>
      <c r="H88" s="17" t="s">
        <v>19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20" t="s">
        <v>8</v>
      </c>
      <c r="H89" s="20" t="s">
        <v>12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8</v>
      </c>
      <c r="H90" s="20" t="s">
        <v>12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16" t="s">
        <v>16</v>
      </c>
      <c r="H91" s="16" t="s">
        <v>19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6" t="s">
        <v>16</v>
      </c>
      <c r="H92" s="16" t="s">
        <v>19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6" t="s">
        <v>16</v>
      </c>
      <c r="H93" s="16" t="s">
        <v>19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6" t="s">
        <v>16</v>
      </c>
      <c r="H94" s="16" t="s">
        <v>19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16" t="s">
        <v>16</v>
      </c>
      <c r="H95" s="16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6" t="s">
        <v>16</v>
      </c>
      <c r="H96" s="16" t="s">
        <v>19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7" t="s">
        <v>8</v>
      </c>
      <c r="H97" s="17" t="s">
        <v>41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7" t="s">
        <v>8</v>
      </c>
      <c r="H98" s="17" t="s">
        <v>41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7" t="s">
        <v>8</v>
      </c>
      <c r="H99" s="17" t="s">
        <v>41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7" t="s">
        <v>8</v>
      </c>
      <c r="H100" s="17" t="s">
        <v>41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7" t="s">
        <v>8</v>
      </c>
      <c r="H101" s="17" t="s">
        <v>41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7" t="s">
        <v>8</v>
      </c>
      <c r="H102" s="17" t="s">
        <v>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7" t="s">
        <v>8</v>
      </c>
      <c r="H103" s="17" t="s">
        <v>12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</v>
      </c>
      <c r="H104" s="17" t="s">
        <v>12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6" t="s">
        <v>16</v>
      </c>
      <c r="H105" s="16" t="s">
        <v>19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6" t="s">
        <v>16</v>
      </c>
      <c r="H106" s="16" t="s">
        <v>19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7" t="s">
        <v>16</v>
      </c>
      <c r="H107" s="17" t="s">
        <v>19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7" t="s">
        <v>16</v>
      </c>
      <c r="H108" s="17" t="s">
        <v>19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7" t="s">
        <v>16</v>
      </c>
      <c r="H109" s="17" t="s">
        <v>19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7" t="s">
        <v>16</v>
      </c>
      <c r="H110" s="17" t="s">
        <v>19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7" t="s">
        <v>16</v>
      </c>
      <c r="H111" s="17" t="s">
        <v>19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6" t="s">
        <v>8</v>
      </c>
      <c r="H112" s="16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6" t="s">
        <v>8</v>
      </c>
      <c r="H113" s="16" t="s">
        <v>9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20" t="s">
        <v>8</v>
      </c>
      <c r="H114" s="20" t="s">
        <v>41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20" t="s">
        <v>8</v>
      </c>
      <c r="H115" s="20" t="s">
        <v>41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20" t="s">
        <v>8</v>
      </c>
      <c r="H116" s="20" t="s">
        <v>41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16" t="s">
        <v>16</v>
      </c>
      <c r="H117" s="16" t="s">
        <v>19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16" t="s">
        <v>16</v>
      </c>
      <c r="H118" s="16" t="s">
        <v>19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16" t="s">
        <v>16</v>
      </c>
      <c r="H119" s="16" t="s">
        <v>19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16" t="s">
        <v>16</v>
      </c>
      <c r="H120" s="16" t="s">
        <v>19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16" t="s">
        <v>16</v>
      </c>
      <c r="H121" s="16" t="s">
        <v>19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22" t="s">
        <v>8</v>
      </c>
      <c r="H122" s="22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22" t="s">
        <v>8</v>
      </c>
      <c r="H123" s="22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22" t="s">
        <v>8</v>
      </c>
      <c r="H124" s="22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22" t="s">
        <v>8</v>
      </c>
      <c r="H125" s="22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22" t="s">
        <v>8</v>
      </c>
      <c r="H126" s="22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7" t="s">
        <v>22</v>
      </c>
      <c r="H127" s="17" t="s">
        <v>45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7" t="s">
        <v>22</v>
      </c>
      <c r="H128" s="17" t="s">
        <v>45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7" t="s">
        <v>22</v>
      </c>
      <c r="H129" s="17" t="s">
        <v>45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6" t="s">
        <v>16</v>
      </c>
      <c r="H130" s="16" t="s">
        <v>19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16" t="s">
        <v>16</v>
      </c>
      <c r="H131" s="16" t="s">
        <v>19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0" t="s">
        <v>8</v>
      </c>
      <c r="H132" s="20" t="s">
        <v>12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17" t="s">
        <v>16</v>
      </c>
      <c r="H136" s="17" t="s">
        <v>19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16" t="s">
        <v>8</v>
      </c>
      <c r="H137" s="16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16" t="s">
        <v>8</v>
      </c>
      <c r="H138" s="16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16" t="s">
        <v>8</v>
      </c>
      <c r="H139" s="16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16" t="s">
        <v>8</v>
      </c>
      <c r="H140" s="16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16" t="s">
        <v>8</v>
      </c>
      <c r="H141" s="16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16" t="s">
        <v>16</v>
      </c>
      <c r="H142" s="16" t="s">
        <v>19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16" t="s">
        <v>16</v>
      </c>
      <c r="H143" s="16" t="s">
        <v>19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16" t="s">
        <v>16</v>
      </c>
      <c r="H144" s="16" t="s">
        <v>19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16" t="s">
        <v>16</v>
      </c>
      <c r="H145" s="16" t="s">
        <v>19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16" t="s">
        <v>16</v>
      </c>
      <c r="H146" s="16" t="s">
        <v>19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0" t="s">
        <v>8</v>
      </c>
      <c r="H147" s="20" t="s">
        <v>12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0" t="s">
        <v>8</v>
      </c>
      <c r="H148" s="20" t="s">
        <v>12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0" t="s">
        <v>8</v>
      </c>
      <c r="H149" s="20" t="s">
        <v>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0" t="s">
        <v>8</v>
      </c>
      <c r="H150" s="20" t="s">
        <v>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7" t="s">
        <v>16</v>
      </c>
      <c r="H151" s="17" t="s">
        <v>19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22" t="s">
        <v>8</v>
      </c>
      <c r="H152" s="22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22" t="s">
        <v>8</v>
      </c>
      <c r="H153" s="22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22" t="s">
        <v>8</v>
      </c>
      <c r="H154" s="22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22" t="s">
        <v>8</v>
      </c>
      <c r="H155" s="22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22" t="s">
        <v>8</v>
      </c>
      <c r="H156" s="22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6" t="s">
        <v>16</v>
      </c>
      <c r="H157" s="16" t="s">
        <v>19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6" t="s">
        <v>16</v>
      </c>
      <c r="H158" s="16" t="s">
        <v>19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6" t="s">
        <v>16</v>
      </c>
      <c r="H159" s="16" t="s">
        <v>19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16" t="s">
        <v>16</v>
      </c>
      <c r="H160" s="16" t="s">
        <v>19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6" t="s">
        <v>16</v>
      </c>
      <c r="H161" s="16" t="s">
        <v>19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16" t="s">
        <v>22</v>
      </c>
      <c r="H162" s="16" t="s">
        <v>45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16" t="s">
        <v>22</v>
      </c>
      <c r="H163" s="16" t="s">
        <v>45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6" t="s">
        <v>22</v>
      </c>
      <c r="H164" s="16" t="s">
        <v>45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6" t="s">
        <v>22</v>
      </c>
      <c r="H165" s="16" t="s">
        <v>45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7" t="s">
        <v>8</v>
      </c>
      <c r="H166" s="17" t="s">
        <v>41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5" t="s">
        <v>16</v>
      </c>
      <c r="H167" s="5" t="s">
        <v>19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5" t="s">
        <v>16</v>
      </c>
      <c r="H168" s="5" t="s">
        <v>19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5" t="s">
        <v>16</v>
      </c>
      <c r="H169" s="5" t="s">
        <v>19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5" t="s">
        <v>16</v>
      </c>
      <c r="H170" s="5" t="s">
        <v>19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15" t="s">
        <v>22</v>
      </c>
      <c r="H171" s="15" t="s">
        <v>45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5" t="s">
        <v>22</v>
      </c>
      <c r="H172" s="15" t="s">
        <v>45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15" t="s">
        <v>22</v>
      </c>
      <c r="H173" s="15" t="s">
        <v>45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15" t="s">
        <v>22</v>
      </c>
      <c r="H174" s="15" t="s">
        <v>45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15" t="s">
        <v>22</v>
      </c>
      <c r="H175" s="15" t="s">
        <v>45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15" t="s">
        <v>22</v>
      </c>
      <c r="H176" s="15" t="s">
        <v>45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16" t="s">
        <v>8</v>
      </c>
      <c r="H177" s="16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16" t="s">
        <v>8</v>
      </c>
      <c r="H178" s="16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16" t="s">
        <v>8</v>
      </c>
      <c r="H179" s="16" t="s">
        <v>12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16" t="s">
        <v>8</v>
      </c>
      <c r="H180" s="16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16" t="s">
        <v>8</v>
      </c>
      <c r="H181" s="16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6" t="s">
        <v>8</v>
      </c>
      <c r="H182" s="16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6" t="s">
        <v>8</v>
      </c>
      <c r="H183" s="16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6" t="s">
        <v>8</v>
      </c>
      <c r="H184" s="16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6" t="s">
        <v>8</v>
      </c>
      <c r="H185" s="16" t="s">
        <v>12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6" t="s">
        <v>8</v>
      </c>
      <c r="H186" s="16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16" t="s">
        <v>16</v>
      </c>
      <c r="H187" s="16" t="s">
        <v>19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16" t="s">
        <v>16</v>
      </c>
      <c r="H188" s="16" t="s">
        <v>19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16" t="s">
        <v>16</v>
      </c>
      <c r="H189" s="16" t="s">
        <v>19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16" t="s">
        <v>16</v>
      </c>
      <c r="H190" s="16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16" t="s">
        <v>16</v>
      </c>
      <c r="H191" s="16" t="s">
        <v>19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6" t="s">
        <v>16</v>
      </c>
      <c r="H192" s="16" t="s">
        <v>19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6" t="s">
        <v>16</v>
      </c>
      <c r="H193" s="16" t="s">
        <v>19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6" t="s">
        <v>16</v>
      </c>
      <c r="H194" s="16" t="s">
        <v>19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6" t="s">
        <v>16</v>
      </c>
      <c r="H195" s="16" t="s">
        <v>19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6" t="s">
        <v>16</v>
      </c>
      <c r="H196" s="16" t="s">
        <v>19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6" t="s">
        <v>16</v>
      </c>
      <c r="H197" s="16" t="s">
        <v>19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6" t="s">
        <v>16</v>
      </c>
      <c r="H198" s="16" t="s">
        <v>19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6" t="s">
        <v>16</v>
      </c>
      <c r="H199" s="16" t="s">
        <v>19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6" t="s">
        <v>16</v>
      </c>
      <c r="H200" s="16" t="s">
        <v>19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16" t="s">
        <v>16</v>
      </c>
      <c r="H201" s="16" t="s">
        <v>19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6" t="s">
        <v>16</v>
      </c>
      <c r="H202" s="16" t="s">
        <v>19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6" t="s">
        <v>16</v>
      </c>
      <c r="H203" s="16" t="s">
        <v>19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6" t="s">
        <v>16</v>
      </c>
      <c r="H204" s="16" t="s">
        <v>19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6" t="s">
        <v>16</v>
      </c>
      <c r="H205" s="16" t="s">
        <v>19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6" t="s">
        <v>16</v>
      </c>
      <c r="H206" s="16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6" t="s">
        <v>8</v>
      </c>
      <c r="H207" s="16" t="s">
        <v>41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16" t="s">
        <v>8</v>
      </c>
      <c r="H208" s="16" t="s">
        <v>41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16" t="s">
        <v>8</v>
      </c>
      <c r="H209" s="16" t="s">
        <v>41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16" t="s">
        <v>8</v>
      </c>
      <c r="H210" s="16" t="s">
        <v>41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16" t="s">
        <v>8</v>
      </c>
      <c r="H211" s="16" t="s">
        <v>41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6" t="s">
        <v>22</v>
      </c>
      <c r="H212" s="16" t="s">
        <v>45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6" t="s">
        <v>22</v>
      </c>
      <c r="H213" s="16" t="s">
        <v>45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6" t="s">
        <v>22</v>
      </c>
      <c r="H214" s="16" t="s">
        <v>45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6" t="s">
        <v>22</v>
      </c>
      <c r="H215" s="16" t="s">
        <v>45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6" t="s">
        <v>22</v>
      </c>
      <c r="H216" s="16" t="s">
        <v>45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6" t="s">
        <v>8</v>
      </c>
      <c r="H217" s="16" t="s">
        <v>41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6" t="s">
        <v>8</v>
      </c>
      <c r="H218" s="16" t="s">
        <v>41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6" t="s">
        <v>8</v>
      </c>
      <c r="H219" s="16" t="s">
        <v>41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6" t="s">
        <v>8</v>
      </c>
      <c r="H220" s="16" t="s">
        <v>41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6" t="s">
        <v>8</v>
      </c>
      <c r="H221" s="16" t="s">
        <v>41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22</v>
      </c>
      <c r="H222" s="17" t="s">
        <v>45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22</v>
      </c>
      <c r="H223" s="17" t="s">
        <v>45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22</v>
      </c>
      <c r="H224" s="17" t="s">
        <v>45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22</v>
      </c>
      <c r="H225" s="17" t="s">
        <v>45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22</v>
      </c>
      <c r="H226" s="17" t="s">
        <v>45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5" t="s">
        <v>22</v>
      </c>
      <c r="H227" s="5" t="s">
        <v>45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5" t="s">
        <v>22</v>
      </c>
      <c r="H228" s="5" t="s">
        <v>45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17" t="s">
        <v>16</v>
      </c>
      <c r="H229" s="17" t="s">
        <v>19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17" t="s">
        <v>16</v>
      </c>
      <c r="H230" s="17" t="s">
        <v>19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5" t="s">
        <v>9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24" t="s">
        <v>8</v>
      </c>
      <c r="H232" s="24" t="s">
        <v>9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24" t="s">
        <v>8</v>
      </c>
      <c r="H233" s="24" t="s">
        <v>9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24" t="s">
        <v>8</v>
      </c>
      <c r="H234" s="24" t="s">
        <v>9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24" t="s">
        <v>8</v>
      </c>
      <c r="H235" s="24" t="s">
        <v>9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24" t="s">
        <v>8</v>
      </c>
      <c r="H236" s="24" t="s">
        <v>9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5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5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5" t="s">
        <v>9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5" t="s">
        <v>9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5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5" t="s">
        <v>22</v>
      </c>
      <c r="H242" s="5" t="s">
        <v>45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17" t="s">
        <v>16</v>
      </c>
      <c r="H243" s="17" t="s">
        <v>19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17" t="s">
        <v>16</v>
      </c>
      <c r="H244" s="17" t="s">
        <v>19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5" t="s">
        <v>9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24" t="s">
        <v>8</v>
      </c>
      <c r="H246" s="24" t="s">
        <v>9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24" t="s">
        <v>8</v>
      </c>
      <c r="H247" s="24" t="s">
        <v>9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5" t="s">
        <v>9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5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5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5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5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5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5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5" t="s">
        <v>19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5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5" t="s">
        <v>22</v>
      </c>
      <c r="H257" s="5" t="s">
        <v>45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17" t="s">
        <v>16</v>
      </c>
      <c r="H258" s="17" t="s">
        <v>19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17" t="s">
        <v>16</v>
      </c>
      <c r="H259" s="17" t="s">
        <v>19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5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5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5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5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5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5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5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5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5" t="s">
        <v>19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7" t="s">
        <v>22</v>
      </c>
      <c r="H269" s="17" t="s">
        <v>45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7" t="s">
        <v>22</v>
      </c>
      <c r="H270" s="17" t="s">
        <v>45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7" t="s">
        <v>22</v>
      </c>
      <c r="H271" s="17" t="s">
        <v>45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5" t="s">
        <v>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5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5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24" t="s">
        <v>8</v>
      </c>
      <c r="H275" s="24" t="s">
        <v>12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5" t="s">
        <v>8</v>
      </c>
      <c r="H276" s="5" t="s">
        <v>9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5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5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5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5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5" t="s">
        <v>9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17" t="s">
        <v>16</v>
      </c>
      <c r="H282" s="17" t="s">
        <v>19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5" t="s">
        <v>8</v>
      </c>
      <c r="H283" s="5" t="s">
        <v>9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5" t="s">
        <v>8</v>
      </c>
      <c r="H284" s="5" t="s">
        <v>9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5" t="s">
        <v>8</v>
      </c>
      <c r="H285" s="5" t="s">
        <v>9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5" t="s">
        <v>8</v>
      </c>
      <c r="H286" s="5" t="s">
        <v>9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5" t="s">
        <v>8</v>
      </c>
      <c r="H287" s="5" t="s">
        <v>9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5" t="s">
        <v>16</v>
      </c>
      <c r="H288" s="5" t="s">
        <v>19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5" t="s">
        <v>16</v>
      </c>
      <c r="H289" s="5" t="s">
        <v>19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5" t="s">
        <v>16</v>
      </c>
      <c r="H290" s="5" t="s">
        <v>19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5" t="s">
        <v>16</v>
      </c>
      <c r="H291" s="5" t="s">
        <v>19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5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17" t="s">
        <v>22</v>
      </c>
      <c r="H293" s="17" t="s">
        <v>45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0" t="s">
        <v>8</v>
      </c>
      <c r="H294" s="20" t="s">
        <v>9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5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5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5" t="s">
        <v>8</v>
      </c>
      <c r="H297" s="5" t="s">
        <v>9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5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5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5" t="s">
        <v>9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17" t="s">
        <v>16</v>
      </c>
      <c r="H301" s="17" t="s">
        <v>19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5" t="s">
        <v>9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5" t="s">
        <v>9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15" t="s">
        <v>16</v>
      </c>
      <c r="H304" s="15" t="s">
        <v>19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15" t="s">
        <v>16</v>
      </c>
      <c r="H305" s="15" t="s">
        <v>19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15" t="s">
        <v>16</v>
      </c>
      <c r="H306" s="15" t="s">
        <v>19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15" t="s">
        <v>16</v>
      </c>
      <c r="H307" s="15" t="s">
        <v>19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5" t="s">
        <v>22</v>
      </c>
      <c r="H308" s="5" t="s">
        <v>45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5" t="s">
        <v>22</v>
      </c>
      <c r="H309" s="5" t="s">
        <v>45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5" t="s">
        <v>22</v>
      </c>
      <c r="H310" s="5" t="s">
        <v>45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5" t="s">
        <v>22</v>
      </c>
      <c r="H311" s="5" t="s">
        <v>45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5" t="s">
        <v>8</v>
      </c>
      <c r="H312" s="5" t="s">
        <v>9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4" t="s">
        <v>8</v>
      </c>
      <c r="H313" s="24" t="s">
        <v>9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5" t="s">
        <v>8</v>
      </c>
      <c r="H314" s="5" t="s">
        <v>9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5" t="s">
        <v>8</v>
      </c>
      <c r="H315" s="5" t="s">
        <v>9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5" t="s">
        <v>8</v>
      </c>
      <c r="H316" s="5" t="s">
        <v>9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17" t="s">
        <v>16</v>
      </c>
      <c r="H317" s="17" t="s">
        <v>19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5" t="s">
        <v>8</v>
      </c>
      <c r="H318" s="5" t="s">
        <v>9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5" t="s">
        <v>8</v>
      </c>
      <c r="H319" s="5" t="s">
        <v>9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15" t="s">
        <v>16</v>
      </c>
      <c r="H320" s="15" t="s">
        <v>19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15" t="s">
        <v>16</v>
      </c>
      <c r="H321" s="15" t="s">
        <v>19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15" t="s">
        <v>16</v>
      </c>
      <c r="H322" s="15" t="s">
        <v>19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15" t="s">
        <v>16</v>
      </c>
      <c r="H323" s="15" t="s">
        <v>19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5" t="s">
        <v>22</v>
      </c>
      <c r="H324" s="5" t="s">
        <v>45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5" t="s">
        <v>22</v>
      </c>
      <c r="H325" s="5" t="s">
        <v>45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5" t="s">
        <v>22</v>
      </c>
      <c r="H326" s="5" t="s">
        <v>45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5" t="s">
        <v>22</v>
      </c>
      <c r="H327" s="5" t="s">
        <v>45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0" t="s">
        <v>16</v>
      </c>
      <c r="H328" s="20" t="s">
        <v>19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0" t="s">
        <v>16</v>
      </c>
      <c r="H329" s="20" t="s">
        <v>19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0" t="s">
        <v>16</v>
      </c>
      <c r="H330" s="20" t="s">
        <v>19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0" t="s">
        <v>16</v>
      </c>
      <c r="H331" s="20" t="s">
        <v>19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5" t="s">
        <v>8</v>
      </c>
      <c r="H332" s="5" t="s">
        <v>12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5" t="s">
        <v>8</v>
      </c>
      <c r="H333" s="5" t="s">
        <v>12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24" t="s">
        <v>8</v>
      </c>
      <c r="H334" s="24" t="s">
        <v>9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24" t="s">
        <v>8</v>
      </c>
      <c r="H335" s="24" t="s">
        <v>9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5" t="s">
        <v>9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5" t="s">
        <v>9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5" t="s">
        <v>16</v>
      </c>
      <c r="H338" s="5" t="s">
        <v>19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5" t="s">
        <v>16</v>
      </c>
      <c r="H339" s="5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5" t="s">
        <v>12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5" t="s">
        <v>12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5" t="s">
        <v>12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5" t="s">
        <v>12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5" t="s">
        <v>16</v>
      </c>
      <c r="H344" s="5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5" t="s">
        <v>16</v>
      </c>
      <c r="H345" s="5" t="s">
        <v>19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5" t="s">
        <v>16</v>
      </c>
      <c r="H346" s="5" t="s">
        <v>19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5" t="s">
        <v>16</v>
      </c>
      <c r="H347" s="5" t="s">
        <v>19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5" t="s">
        <v>16</v>
      </c>
      <c r="H348" s="5" t="s">
        <v>19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5" t="s">
        <v>16</v>
      </c>
      <c r="H349" s="5" t="s">
        <v>19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5" t="s">
        <v>16</v>
      </c>
      <c r="H350" s="5" t="s">
        <v>19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5" t="s">
        <v>16</v>
      </c>
      <c r="H351" s="5" t="s">
        <v>19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5" t="s">
        <v>16</v>
      </c>
      <c r="H352" s="5" t="s">
        <v>19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5" t="s">
        <v>16</v>
      </c>
      <c r="H353" s="5" t="s">
        <v>19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5" t="s">
        <v>16</v>
      </c>
      <c r="H354" s="5" t="s">
        <v>19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5" t="s">
        <v>16</v>
      </c>
      <c r="H355" s="5" t="s">
        <v>19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15" t="s">
        <v>16</v>
      </c>
      <c r="H356" s="15" t="s">
        <v>45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15" t="s">
        <v>16</v>
      </c>
      <c r="H357" s="15" t="s">
        <v>45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15" t="s">
        <v>16</v>
      </c>
      <c r="H358" s="15" t="s">
        <v>45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15" t="s">
        <v>16</v>
      </c>
      <c r="H359" s="15" t="s">
        <v>45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15" t="s">
        <v>16</v>
      </c>
      <c r="H360" s="15" t="s">
        <v>45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15" t="s">
        <v>16</v>
      </c>
      <c r="H361" s="15" t="s">
        <v>45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5" t="s">
        <v>9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5" t="s">
        <v>9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5" t="s">
        <v>16</v>
      </c>
      <c r="H364" s="5" t="s">
        <v>19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5" t="s">
        <v>16</v>
      </c>
      <c r="H365" s="5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5" t="s">
        <v>12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5" t="s">
        <v>12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5" t="s">
        <v>12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5" t="s">
        <v>12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5" t="s">
        <v>12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5" t="s">
        <v>12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5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5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5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5" t="s">
        <v>12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5" t="s">
        <v>12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0" t="s">
        <v>8</v>
      </c>
      <c r="H377" s="20" t="s">
        <v>9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5" t="s">
        <v>12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5" t="s">
        <v>12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20" t="s">
        <v>8</v>
      </c>
      <c r="H380" s="20" t="s">
        <v>9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20" t="s">
        <v>8</v>
      </c>
      <c r="H381" s="20" t="s">
        <v>9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20" t="s">
        <v>8</v>
      </c>
      <c r="H382" s="20" t="s">
        <v>9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20" t="s">
        <v>8</v>
      </c>
      <c r="H383" s="20" t="s">
        <v>9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5" t="s">
        <v>16</v>
      </c>
      <c r="H384" s="5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5" t="s">
        <v>16</v>
      </c>
      <c r="H385" s="5" t="s">
        <v>19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5" t="s">
        <v>16</v>
      </c>
      <c r="H386" s="5" t="s">
        <v>19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5" t="s">
        <v>16</v>
      </c>
      <c r="H387" s="5" t="s">
        <v>19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5" t="s">
        <v>16</v>
      </c>
      <c r="H388" s="5" t="s">
        <v>19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5" t="s">
        <v>16</v>
      </c>
      <c r="H389" s="5" t="s">
        <v>19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5" t="s">
        <v>16</v>
      </c>
      <c r="H390" s="5" t="s">
        <v>19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5" t="s">
        <v>16</v>
      </c>
      <c r="H391" s="5" t="s">
        <v>19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5" t="s">
        <v>16</v>
      </c>
      <c r="H392" s="5" t="s">
        <v>19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5" t="s">
        <v>16</v>
      </c>
      <c r="H393" s="5" t="s">
        <v>19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5" t="s">
        <v>16</v>
      </c>
      <c r="H394" s="5" t="s">
        <v>19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5" t="s">
        <v>16</v>
      </c>
      <c r="H395" s="5" t="s">
        <v>19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17" t="s">
        <v>16</v>
      </c>
      <c r="H396" s="17" t="s">
        <v>45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17" t="s">
        <v>16</v>
      </c>
      <c r="H397" s="17" t="s">
        <v>45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17" t="s">
        <v>16</v>
      </c>
      <c r="H398" s="17" t="s">
        <v>45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17" t="s">
        <v>16</v>
      </c>
      <c r="H399" s="17" t="s">
        <v>45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17" t="s">
        <v>16</v>
      </c>
      <c r="H400" s="17" t="s">
        <v>45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17" t="s">
        <v>16</v>
      </c>
      <c r="H401" s="17" t="s">
        <v>45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5" t="s">
        <v>16</v>
      </c>
      <c r="H402" s="5" t="s">
        <v>19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5" t="s">
        <v>16</v>
      </c>
      <c r="H403" s="5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5" t="s">
        <v>12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5" t="s">
        <v>12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5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5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5" t="s">
        <v>12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4" t="s">
        <v>8</v>
      </c>
      <c r="H409" s="24" t="s">
        <v>9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5" t="s">
        <v>12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5" t="s">
        <v>12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0" t="s">
        <v>8</v>
      </c>
      <c r="H412" s="20" t="s">
        <v>9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0" t="s">
        <v>8</v>
      </c>
      <c r="H413" s="20" t="s">
        <v>9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0" t="s">
        <v>8</v>
      </c>
      <c r="H414" s="20" t="s">
        <v>9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20" t="s">
        <v>8</v>
      </c>
      <c r="H415" s="20" t="s">
        <v>9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5" t="s">
        <v>12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5" t="s">
        <v>12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5" t="s">
        <v>12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5" t="s">
        <v>12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5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5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5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5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5" t="s">
        <v>9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5" t="s">
        <v>9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5" t="s">
        <v>9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5" t="s">
        <v>9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5" t="s">
        <v>16</v>
      </c>
      <c r="H428" s="5" t="s">
        <v>19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5" t="s">
        <v>16</v>
      </c>
      <c r="H429" s="5" t="s">
        <v>19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5" t="s">
        <v>16</v>
      </c>
      <c r="H430" s="5" t="s">
        <v>19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5" t="s">
        <v>16</v>
      </c>
      <c r="H431" s="5" t="s">
        <v>19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5" t="s">
        <v>16</v>
      </c>
      <c r="H432" s="5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22</v>
      </c>
      <c r="H433" s="17" t="s">
        <v>45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22</v>
      </c>
      <c r="H434" s="17" t="s">
        <v>45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22</v>
      </c>
      <c r="H435" s="17" t="s">
        <v>45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22</v>
      </c>
      <c r="H436" s="17" t="s">
        <v>45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22</v>
      </c>
      <c r="H437" s="17" t="s">
        <v>45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22</v>
      </c>
      <c r="H438" s="17" t="s">
        <v>45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17" t="s">
        <v>22</v>
      </c>
      <c r="H439" s="17" t="s">
        <v>45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17" t="s">
        <v>22</v>
      </c>
      <c r="H440" s="17" t="s">
        <v>45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17" t="s">
        <v>22</v>
      </c>
      <c r="H441" s="17" t="s">
        <v>45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17" t="s">
        <v>22</v>
      </c>
      <c r="H442" s="17" t="s">
        <v>45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17" t="s">
        <v>22</v>
      </c>
      <c r="H443" s="17" t="s">
        <v>45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45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5" t="s">
        <v>16</v>
      </c>
      <c r="H445" s="5" t="s">
        <v>19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5" t="s">
        <v>16</v>
      </c>
      <c r="H446" s="5" t="s">
        <v>19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5" t="s">
        <v>16</v>
      </c>
      <c r="H447" s="5" t="s">
        <v>19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5" t="s">
        <v>16</v>
      </c>
      <c r="H448" s="5" t="s">
        <v>19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5" t="s">
        <v>16</v>
      </c>
      <c r="H449" s="5" t="s">
        <v>19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5" t="s">
        <v>16</v>
      </c>
      <c r="H450" s="5" t="s">
        <v>19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5" t="s">
        <v>16</v>
      </c>
      <c r="H451" s="5" t="s">
        <v>19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5" t="s">
        <v>8</v>
      </c>
      <c r="H2" s="5" t="s">
        <v>9</v>
      </c>
      <c r="J2" s="6" t="s">
        <v>81</v>
      </c>
      <c r="K2" s="7">
        <v>328.0</v>
      </c>
      <c r="L2" s="8">
        <f t="shared" ref="L2:L5" si="1">ROUND((K2/$K$5)*100,2)%</f>
        <v>0.7289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5" t="s">
        <v>8</v>
      </c>
      <c r="H3" s="5" t="s">
        <v>9</v>
      </c>
      <c r="J3" s="18" t="s">
        <v>84</v>
      </c>
      <c r="K3" s="19">
        <v>58.0</v>
      </c>
      <c r="L3" s="8">
        <f t="shared" si="1"/>
        <v>0.1289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5" t="s">
        <v>8</v>
      </c>
      <c r="H4" s="5" t="s">
        <v>12</v>
      </c>
      <c r="J4" s="9" t="s">
        <v>82</v>
      </c>
      <c r="K4" s="10">
        <v>64.0</v>
      </c>
      <c r="L4" s="8">
        <f t="shared" si="1"/>
        <v>0.1422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4" t="s">
        <v>8</v>
      </c>
      <c r="H5" s="24" t="s">
        <v>12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4" t="s">
        <v>8</v>
      </c>
      <c r="H6" s="24" t="s">
        <v>12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5" t="s">
        <v>8</v>
      </c>
      <c r="H7" s="5" t="s">
        <v>12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20" t="s">
        <v>16</v>
      </c>
      <c r="H8" s="20" t="s">
        <v>58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0" t="s">
        <v>16</v>
      </c>
      <c r="H9" s="20" t="s">
        <v>58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0" t="s">
        <v>16</v>
      </c>
      <c r="H10" s="20" t="s">
        <v>58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20" t="s">
        <v>16</v>
      </c>
      <c r="H11" s="20" t="s">
        <v>58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5" t="s">
        <v>16</v>
      </c>
      <c r="H12" s="5" t="s">
        <v>19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5" t="s">
        <v>16</v>
      </c>
      <c r="H13" s="5" t="s">
        <v>19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5" t="s">
        <v>16</v>
      </c>
      <c r="H14" s="5" t="s">
        <v>19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5" t="s">
        <v>16</v>
      </c>
      <c r="H15" s="5" t="s">
        <v>19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5" t="s">
        <v>16</v>
      </c>
      <c r="H16" s="5" t="s">
        <v>19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5" t="s">
        <v>8</v>
      </c>
      <c r="H17" s="5" t="s">
        <v>12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20" t="s">
        <v>16</v>
      </c>
      <c r="H18" s="20" t="s">
        <v>58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0" t="s">
        <v>16</v>
      </c>
      <c r="H19" s="20" t="s">
        <v>58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0" t="s">
        <v>16</v>
      </c>
      <c r="H20" s="20" t="s">
        <v>58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20" t="s">
        <v>16</v>
      </c>
      <c r="H21" s="20" t="s">
        <v>58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5" t="s">
        <v>16</v>
      </c>
      <c r="H22" s="5" t="s">
        <v>19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5" t="s">
        <v>16</v>
      </c>
      <c r="H23" s="5" t="s">
        <v>19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5" t="s">
        <v>16</v>
      </c>
      <c r="H24" s="5" t="s">
        <v>19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5" t="s">
        <v>16</v>
      </c>
      <c r="H25" s="5" t="s">
        <v>19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5" t="s">
        <v>16</v>
      </c>
      <c r="H26" s="5" t="s">
        <v>19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5" t="s">
        <v>8</v>
      </c>
      <c r="H27" s="5" t="s">
        <v>9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5" t="s">
        <v>22</v>
      </c>
      <c r="H28" s="5" t="s">
        <v>23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5" t="s">
        <v>22</v>
      </c>
      <c r="H29" s="5" t="s">
        <v>23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5" t="s">
        <v>22</v>
      </c>
      <c r="H30" s="5" t="s">
        <v>23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5" t="s">
        <v>22</v>
      </c>
      <c r="H31" s="5" t="s">
        <v>23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5" t="s">
        <v>8</v>
      </c>
      <c r="H32" s="5" t="s">
        <v>12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5" t="s">
        <v>8</v>
      </c>
      <c r="H33" s="5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4" t="s">
        <v>8</v>
      </c>
      <c r="H34" s="24" t="s">
        <v>12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4" t="s">
        <v>8</v>
      </c>
      <c r="H35" s="24" t="s">
        <v>12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5" t="s">
        <v>16</v>
      </c>
      <c r="H36" s="5" t="s">
        <v>19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5" t="s">
        <v>16</v>
      </c>
      <c r="H37" s="5" t="s">
        <v>19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5" t="s">
        <v>22</v>
      </c>
      <c r="H38" s="5" t="s">
        <v>23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5" t="s">
        <v>22</v>
      </c>
      <c r="H39" s="5" t="s">
        <v>23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5" t="s">
        <v>22</v>
      </c>
      <c r="H40" s="5" t="s">
        <v>23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5" t="s">
        <v>22</v>
      </c>
      <c r="H41" s="5" t="s">
        <v>23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16" t="s">
        <v>87</v>
      </c>
      <c r="H42" s="16" t="s">
        <v>9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16" t="s">
        <v>87</v>
      </c>
      <c r="H43" s="16" t="s">
        <v>9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16" t="s">
        <v>87</v>
      </c>
      <c r="H44" s="16" t="s">
        <v>9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0" t="s">
        <v>87</v>
      </c>
      <c r="H45" s="20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16" t="s">
        <v>87</v>
      </c>
      <c r="H46" s="16" t="s">
        <v>9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17" t="s">
        <v>58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17" t="s">
        <v>58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87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0" t="s">
        <v>87</v>
      </c>
      <c r="H50" s="20" t="s">
        <v>12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5" t="s">
        <v>8</v>
      </c>
      <c r="H51" s="5" t="s">
        <v>12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5" t="s">
        <v>8</v>
      </c>
      <c r="H52" s="5" t="s">
        <v>12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5" t="s">
        <v>16</v>
      </c>
      <c r="H53" s="5" t="s">
        <v>19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5" t="s">
        <v>16</v>
      </c>
      <c r="H54" s="5" t="s">
        <v>19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5" t="s">
        <v>16</v>
      </c>
      <c r="H55" s="5" t="s">
        <v>19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5" t="s">
        <v>16</v>
      </c>
      <c r="H56" s="5" t="s">
        <v>19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5" t="s">
        <v>16</v>
      </c>
      <c r="H57" s="5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5" t="s">
        <v>16</v>
      </c>
      <c r="H58" s="5" t="s">
        <v>19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5" t="s">
        <v>16</v>
      </c>
      <c r="H59" s="5" t="s">
        <v>19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5" t="s">
        <v>16</v>
      </c>
      <c r="H60" s="5" t="s">
        <v>19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5" t="s">
        <v>16</v>
      </c>
      <c r="H61" s="5" t="s">
        <v>19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5" t="s">
        <v>16</v>
      </c>
      <c r="H62" s="5" t="s">
        <v>19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5" t="s">
        <v>16</v>
      </c>
      <c r="H63" s="5" t="s">
        <v>19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5" t="s">
        <v>16</v>
      </c>
      <c r="H64" s="5" t="s">
        <v>19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5" t="s">
        <v>16</v>
      </c>
      <c r="H65" s="5" t="s">
        <v>19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5" t="s">
        <v>16</v>
      </c>
      <c r="H66" s="5" t="s">
        <v>19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7" t="s">
        <v>16</v>
      </c>
      <c r="H67" s="17" t="s">
        <v>58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17" t="s">
        <v>16</v>
      </c>
      <c r="H68" s="17" t="s">
        <v>58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16" t="s">
        <v>87</v>
      </c>
      <c r="H69" s="16" t="s">
        <v>9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87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5" t="s">
        <v>8</v>
      </c>
      <c r="H71" s="5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5" t="s">
        <v>8</v>
      </c>
      <c r="H72" s="5" t="s">
        <v>12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5" t="s">
        <v>16</v>
      </c>
      <c r="H73" s="5" t="s">
        <v>19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5" t="s">
        <v>16</v>
      </c>
      <c r="H74" s="5" t="s">
        <v>19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5" t="s">
        <v>16</v>
      </c>
      <c r="H75" s="5" t="s">
        <v>19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5" t="s">
        <v>16</v>
      </c>
      <c r="H76" s="5" t="s">
        <v>19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5" t="s">
        <v>16</v>
      </c>
      <c r="H77" s="5" t="s">
        <v>19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5" t="s">
        <v>16</v>
      </c>
      <c r="H78" s="5" t="s">
        <v>19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5" t="s">
        <v>16</v>
      </c>
      <c r="H79" s="5" t="s">
        <v>19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5" t="s">
        <v>16</v>
      </c>
      <c r="H80" s="5" t="s">
        <v>19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5" t="s">
        <v>16</v>
      </c>
      <c r="H81" s="5" t="s">
        <v>19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7" t="s">
        <v>87</v>
      </c>
      <c r="H82" s="17" t="s">
        <v>9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87</v>
      </c>
      <c r="H83" s="17" t="s">
        <v>12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87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87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87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7" t="s">
        <v>16</v>
      </c>
      <c r="H87" s="17" t="s">
        <v>58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17" t="s">
        <v>16</v>
      </c>
      <c r="H88" s="17" t="s">
        <v>58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16" t="s">
        <v>87</v>
      </c>
      <c r="H89" s="16" t="s">
        <v>9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87</v>
      </c>
      <c r="H90" s="20" t="s">
        <v>12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5" t="s">
        <v>16</v>
      </c>
      <c r="H91" s="5" t="s">
        <v>19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5" t="s">
        <v>16</v>
      </c>
      <c r="H92" s="5" t="s">
        <v>19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5" t="s">
        <v>16</v>
      </c>
      <c r="H93" s="5" t="s">
        <v>19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5" t="s">
        <v>16</v>
      </c>
      <c r="H94" s="5" t="s">
        <v>19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5" t="s">
        <v>16</v>
      </c>
      <c r="H95" s="5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5" t="s">
        <v>16</v>
      </c>
      <c r="H96" s="5" t="s">
        <v>19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5" t="s">
        <v>16</v>
      </c>
      <c r="H97" s="5" t="s">
        <v>19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5" t="s">
        <v>16</v>
      </c>
      <c r="H98" s="5" t="s">
        <v>19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5" t="s">
        <v>16</v>
      </c>
      <c r="H99" s="5" t="s">
        <v>19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5" t="s">
        <v>16</v>
      </c>
      <c r="H100" s="5" t="s">
        <v>19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5" t="s">
        <v>16</v>
      </c>
      <c r="H101" s="5" t="s">
        <v>19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5" t="s">
        <v>16</v>
      </c>
      <c r="H102" s="5" t="s">
        <v>19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7" t="s">
        <v>87</v>
      </c>
      <c r="H103" s="17" t="s">
        <v>9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87</v>
      </c>
      <c r="H104" s="17" t="s">
        <v>12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7" t="s">
        <v>87</v>
      </c>
      <c r="H105" s="17" t="s">
        <v>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7" t="s">
        <v>87</v>
      </c>
      <c r="H106" s="17" t="s">
        <v>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5" t="s">
        <v>8</v>
      </c>
      <c r="H107" s="5" t="s">
        <v>12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5" t="s">
        <v>8</v>
      </c>
      <c r="H108" s="5" t="s">
        <v>12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5" t="s">
        <v>8</v>
      </c>
      <c r="H109" s="5" t="s">
        <v>12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24" t="s">
        <v>8</v>
      </c>
      <c r="H110" s="24" t="s">
        <v>9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5" t="s">
        <v>8</v>
      </c>
      <c r="H111" s="5" t="s">
        <v>12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5" t="s">
        <v>8</v>
      </c>
      <c r="H112" s="5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24" t="s">
        <v>8</v>
      </c>
      <c r="H113" s="24" t="s">
        <v>12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5" t="s">
        <v>8</v>
      </c>
      <c r="H114" s="5" t="s">
        <v>12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5" t="s">
        <v>8</v>
      </c>
      <c r="H115" s="5" t="s">
        <v>12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5" t="s">
        <v>8</v>
      </c>
      <c r="H116" s="5" t="s">
        <v>12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5" t="s">
        <v>16</v>
      </c>
      <c r="H117" s="5" t="s">
        <v>19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5" t="s">
        <v>16</v>
      </c>
      <c r="H118" s="5" t="s">
        <v>19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5" t="s">
        <v>16</v>
      </c>
      <c r="H119" s="5" t="s">
        <v>19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5" t="s">
        <v>16</v>
      </c>
      <c r="H120" s="5" t="s">
        <v>19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5" t="s">
        <v>16</v>
      </c>
      <c r="H121" s="5" t="s">
        <v>19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7" t="s">
        <v>87</v>
      </c>
      <c r="H122" s="17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7" t="s">
        <v>87</v>
      </c>
      <c r="H123" s="17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7" t="s">
        <v>87</v>
      </c>
      <c r="H124" s="17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7" t="s">
        <v>87</v>
      </c>
      <c r="H125" s="17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7" t="s">
        <v>87</v>
      </c>
      <c r="H126" s="17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5" t="s">
        <v>16</v>
      </c>
      <c r="H127" s="5" t="s">
        <v>19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5" t="s">
        <v>16</v>
      </c>
      <c r="H128" s="5" t="s">
        <v>19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5" t="s">
        <v>16</v>
      </c>
      <c r="H129" s="5" t="s">
        <v>19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5" t="s">
        <v>16</v>
      </c>
      <c r="H130" s="5" t="s">
        <v>19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5" t="s">
        <v>16</v>
      </c>
      <c r="H131" s="5" t="s">
        <v>19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0" t="s">
        <v>87</v>
      </c>
      <c r="H132" s="20" t="s">
        <v>9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87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87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87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0" t="s">
        <v>87</v>
      </c>
      <c r="H136" s="20" t="s">
        <v>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5" t="s">
        <v>8</v>
      </c>
      <c r="H137" s="5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5" t="s">
        <v>8</v>
      </c>
      <c r="H138" s="5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5" t="s">
        <v>8</v>
      </c>
      <c r="H139" s="5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5" t="s">
        <v>8</v>
      </c>
      <c r="H140" s="5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5" t="s">
        <v>8</v>
      </c>
      <c r="H141" s="5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5" t="s">
        <v>16</v>
      </c>
      <c r="H142" s="5" t="s">
        <v>19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5" t="s">
        <v>16</v>
      </c>
      <c r="H143" s="5" t="s">
        <v>19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5" t="s">
        <v>16</v>
      </c>
      <c r="H144" s="5" t="s">
        <v>19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5" t="s">
        <v>16</v>
      </c>
      <c r="H145" s="5" t="s">
        <v>19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5" t="s">
        <v>16</v>
      </c>
      <c r="H146" s="5" t="s">
        <v>19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17" t="s">
        <v>16</v>
      </c>
      <c r="H147" s="17" t="s">
        <v>19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17" t="s">
        <v>16</v>
      </c>
      <c r="H148" s="17" t="s">
        <v>19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17" t="s">
        <v>16</v>
      </c>
      <c r="H149" s="17" t="s">
        <v>19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17" t="s">
        <v>16</v>
      </c>
      <c r="H150" s="17" t="s">
        <v>19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7" t="s">
        <v>16</v>
      </c>
      <c r="H151" s="17" t="s">
        <v>19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7" t="s">
        <v>87</v>
      </c>
      <c r="H152" s="17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7" t="s">
        <v>87</v>
      </c>
      <c r="H153" s="17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7" t="s">
        <v>87</v>
      </c>
      <c r="H154" s="17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7" t="s">
        <v>87</v>
      </c>
      <c r="H155" s="17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7" t="s">
        <v>87</v>
      </c>
      <c r="H156" s="17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5" t="s">
        <v>16</v>
      </c>
      <c r="H157" s="5" t="s">
        <v>19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5" t="s">
        <v>16</v>
      </c>
      <c r="H158" s="5" t="s">
        <v>19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5" t="s">
        <v>16</v>
      </c>
      <c r="H159" s="5" t="s">
        <v>19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5" t="s">
        <v>16</v>
      </c>
      <c r="H160" s="5" t="s">
        <v>19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5" t="s">
        <v>16</v>
      </c>
      <c r="H161" s="5" t="s">
        <v>19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5" t="s">
        <v>22</v>
      </c>
      <c r="H162" s="5" t="s">
        <v>45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5" t="s">
        <v>22</v>
      </c>
      <c r="H163" s="5" t="s">
        <v>45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5" t="s">
        <v>22</v>
      </c>
      <c r="H164" s="5" t="s">
        <v>45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5" t="s">
        <v>22</v>
      </c>
      <c r="H165" s="5" t="s">
        <v>45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5" t="s">
        <v>22</v>
      </c>
      <c r="H166" s="5" t="s">
        <v>45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5" t="s">
        <v>16</v>
      </c>
      <c r="H167" s="5" t="s">
        <v>19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5" t="s">
        <v>16</v>
      </c>
      <c r="H168" s="5" t="s">
        <v>19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5" t="s">
        <v>16</v>
      </c>
      <c r="H169" s="5" t="s">
        <v>19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5" t="s">
        <v>16</v>
      </c>
      <c r="H170" s="5" t="s">
        <v>19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5" t="s">
        <v>16</v>
      </c>
      <c r="H171" s="5" t="s">
        <v>19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20" t="s">
        <v>87</v>
      </c>
      <c r="H172" s="20" t="s">
        <v>9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0" t="s">
        <v>87</v>
      </c>
      <c r="H173" s="20" t="s">
        <v>9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0" t="s">
        <v>87</v>
      </c>
      <c r="H174" s="20" t="s">
        <v>9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0" t="s">
        <v>87</v>
      </c>
      <c r="H175" s="20" t="s">
        <v>9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0" t="s">
        <v>87</v>
      </c>
      <c r="H176" s="20" t="s">
        <v>9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5" t="s">
        <v>8</v>
      </c>
      <c r="H177" s="5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5" t="s">
        <v>8</v>
      </c>
      <c r="H178" s="5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5" t="s">
        <v>8</v>
      </c>
      <c r="H179" s="5" t="s">
        <v>12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5" t="s">
        <v>8</v>
      </c>
      <c r="H180" s="5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5" t="s">
        <v>8</v>
      </c>
      <c r="H181" s="5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5" t="s">
        <v>8</v>
      </c>
      <c r="H182" s="5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5" t="s">
        <v>8</v>
      </c>
      <c r="H183" s="5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5" t="s">
        <v>8</v>
      </c>
      <c r="H184" s="5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24" t="s">
        <v>8</v>
      </c>
      <c r="H185" s="24" t="s">
        <v>9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5" t="s">
        <v>8</v>
      </c>
      <c r="H186" s="5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5" t="s">
        <v>16</v>
      </c>
      <c r="H187" s="5" t="s">
        <v>19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5" t="s">
        <v>16</v>
      </c>
      <c r="H188" s="5" t="s">
        <v>19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5" t="s">
        <v>16</v>
      </c>
      <c r="H189" s="5" t="s">
        <v>19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5" t="s">
        <v>16</v>
      </c>
      <c r="H190" s="5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5" t="s">
        <v>16</v>
      </c>
      <c r="H191" s="5" t="s">
        <v>19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5" t="s">
        <v>16</v>
      </c>
      <c r="H192" s="5" t="s">
        <v>19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5" t="s">
        <v>16</v>
      </c>
      <c r="H193" s="5" t="s">
        <v>19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5" t="s">
        <v>16</v>
      </c>
      <c r="H194" s="5" t="s">
        <v>19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5" t="s">
        <v>16</v>
      </c>
      <c r="H195" s="5" t="s">
        <v>19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5" t="s">
        <v>16</v>
      </c>
      <c r="H196" s="5" t="s">
        <v>19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5" t="s">
        <v>16</v>
      </c>
      <c r="H197" s="5" t="s">
        <v>19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5" t="s">
        <v>16</v>
      </c>
      <c r="H198" s="5" t="s">
        <v>19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5" t="s">
        <v>16</v>
      </c>
      <c r="H199" s="5" t="s">
        <v>19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5" t="s">
        <v>16</v>
      </c>
      <c r="H200" s="5" t="s">
        <v>19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5" t="s">
        <v>16</v>
      </c>
      <c r="H201" s="5" t="s">
        <v>19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5" t="s">
        <v>16</v>
      </c>
      <c r="H202" s="5" t="s">
        <v>19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5" t="s">
        <v>16</v>
      </c>
      <c r="H203" s="5" t="s">
        <v>19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5" t="s">
        <v>16</v>
      </c>
      <c r="H204" s="5" t="s">
        <v>19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5" t="s">
        <v>16</v>
      </c>
      <c r="H205" s="5" t="s">
        <v>19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5" t="s">
        <v>16</v>
      </c>
      <c r="H206" s="5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20" t="s">
        <v>87</v>
      </c>
      <c r="H207" s="20" t="s">
        <v>9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0" t="s">
        <v>87</v>
      </c>
      <c r="H208" s="20" t="s">
        <v>9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0" t="s">
        <v>87</v>
      </c>
      <c r="H209" s="20" t="s">
        <v>9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0" t="s">
        <v>87</v>
      </c>
      <c r="H210" s="20" t="s">
        <v>9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0" t="s">
        <v>87</v>
      </c>
      <c r="H211" s="20" t="s">
        <v>9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5" t="s">
        <v>22</v>
      </c>
      <c r="H212" s="5" t="s">
        <v>45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5" t="s">
        <v>22</v>
      </c>
      <c r="H213" s="5" t="s">
        <v>45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5" t="s">
        <v>22</v>
      </c>
      <c r="H214" s="5" t="s">
        <v>45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5" t="s">
        <v>22</v>
      </c>
      <c r="H215" s="5" t="s">
        <v>45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5" t="s">
        <v>22</v>
      </c>
      <c r="H216" s="5" t="s">
        <v>45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7" t="s">
        <v>16</v>
      </c>
      <c r="H217" s="17" t="s">
        <v>19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7" t="s">
        <v>16</v>
      </c>
      <c r="H218" s="17" t="s">
        <v>19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7" t="s">
        <v>16</v>
      </c>
      <c r="H219" s="17" t="s">
        <v>19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7" t="s">
        <v>16</v>
      </c>
      <c r="H220" s="17" t="s">
        <v>19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7" t="s">
        <v>16</v>
      </c>
      <c r="H221" s="17" t="s">
        <v>19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87</v>
      </c>
      <c r="H222" s="17" t="s">
        <v>9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87</v>
      </c>
      <c r="H223" s="17" t="s">
        <v>9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87</v>
      </c>
      <c r="H224" s="17" t="s">
        <v>9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87</v>
      </c>
      <c r="H225" s="17" t="s">
        <v>9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87</v>
      </c>
      <c r="H226" s="17" t="s">
        <v>9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4" t="s">
        <v>22</v>
      </c>
      <c r="H227" s="24" t="s">
        <v>23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24" t="s">
        <v>22</v>
      </c>
      <c r="H228" s="24" t="s">
        <v>23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24" t="s">
        <v>8</v>
      </c>
      <c r="H229" s="24" t="s">
        <v>9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24" t="s">
        <v>8</v>
      </c>
      <c r="H230" s="24" t="s">
        <v>9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5" t="s">
        <v>9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5" t="s">
        <v>8</v>
      </c>
      <c r="H232" s="5" t="s">
        <v>12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5" t="s">
        <v>8</v>
      </c>
      <c r="H233" s="5" t="s">
        <v>12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5" t="s">
        <v>8</v>
      </c>
      <c r="H234" s="5" t="s">
        <v>12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5" t="s">
        <v>8</v>
      </c>
      <c r="H235" s="5" t="s">
        <v>12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5" t="s">
        <v>8</v>
      </c>
      <c r="H236" s="5" t="s">
        <v>12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5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5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5" t="s">
        <v>9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5" t="s">
        <v>9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5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24" t="s">
        <v>22</v>
      </c>
      <c r="H242" s="24" t="s">
        <v>23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24" t="s">
        <v>8</v>
      </c>
      <c r="H243" s="24" t="s">
        <v>9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24" t="s">
        <v>8</v>
      </c>
      <c r="H244" s="24" t="s">
        <v>9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5" t="s">
        <v>9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5" t="s">
        <v>8</v>
      </c>
      <c r="H246" s="5" t="s">
        <v>12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5" t="s">
        <v>8</v>
      </c>
      <c r="H247" s="5" t="s">
        <v>12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5" t="s">
        <v>9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5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5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5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5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5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5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5" t="s">
        <v>19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5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24" t="s">
        <v>22</v>
      </c>
      <c r="H257" s="24" t="s">
        <v>23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5" t="s">
        <v>8</v>
      </c>
      <c r="H258" s="5" t="s">
        <v>12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5" t="s">
        <v>8</v>
      </c>
      <c r="H259" s="5" t="s">
        <v>12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5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5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5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5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5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5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5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5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5" t="s">
        <v>19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24" t="s">
        <v>16</v>
      </c>
      <c r="H269" s="24" t="s">
        <v>19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24" t="s">
        <v>16</v>
      </c>
      <c r="H270" s="24" t="s">
        <v>19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24" t="s">
        <v>16</v>
      </c>
      <c r="H271" s="24" t="s">
        <v>19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5" t="s">
        <v>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5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5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5" t="s">
        <v>8</v>
      </c>
      <c r="H275" s="5" t="s">
        <v>12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4" t="s">
        <v>8</v>
      </c>
      <c r="H276" s="24" t="s">
        <v>12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5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5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5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5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5" t="s">
        <v>9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5" t="s">
        <v>8</v>
      </c>
      <c r="H282" s="5" t="s">
        <v>12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20" t="s">
        <v>87</v>
      </c>
      <c r="H283" s="20" t="s">
        <v>12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20" t="s">
        <v>87</v>
      </c>
      <c r="H284" s="20" t="s">
        <v>12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5" t="s">
        <v>8</v>
      </c>
      <c r="H285" s="5" t="s">
        <v>9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5" t="s">
        <v>8</v>
      </c>
      <c r="H286" s="5" t="s">
        <v>9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5" t="s">
        <v>8</v>
      </c>
      <c r="H287" s="5" t="s">
        <v>9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5" t="s">
        <v>16</v>
      </c>
      <c r="H288" s="5" t="s">
        <v>19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5" t="s">
        <v>16</v>
      </c>
      <c r="H289" s="5" t="s">
        <v>19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5" t="s">
        <v>16</v>
      </c>
      <c r="H290" s="5" t="s">
        <v>19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5" t="s">
        <v>16</v>
      </c>
      <c r="H291" s="5" t="s">
        <v>19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5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24" t="s">
        <v>8</v>
      </c>
      <c r="H293" s="24" t="s">
        <v>12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4" t="s">
        <v>8</v>
      </c>
      <c r="H294" s="24" t="s">
        <v>12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5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5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24" t="s">
        <v>8</v>
      </c>
      <c r="H297" s="24" t="s">
        <v>12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5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5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5" t="s">
        <v>9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5" t="s">
        <v>8</v>
      </c>
      <c r="H301" s="5" t="s">
        <v>12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16" t="s">
        <v>12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16" t="s">
        <v>12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5" t="s">
        <v>8</v>
      </c>
      <c r="H304" s="5" t="s">
        <v>12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5" t="s">
        <v>8</v>
      </c>
      <c r="H305" s="5" t="s">
        <v>12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5" t="s">
        <v>8</v>
      </c>
      <c r="H306" s="5" t="s">
        <v>12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5" t="s">
        <v>8</v>
      </c>
      <c r="H307" s="5" t="s">
        <v>12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5" t="s">
        <v>22</v>
      </c>
      <c r="H308" s="5" t="s">
        <v>45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5" t="s">
        <v>22</v>
      </c>
      <c r="H309" s="5" t="s">
        <v>45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5" t="s">
        <v>22</v>
      </c>
      <c r="H310" s="5" t="s">
        <v>45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5" t="s">
        <v>22</v>
      </c>
      <c r="H311" s="5" t="s">
        <v>45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4" t="s">
        <v>8</v>
      </c>
      <c r="H312" s="24" t="s">
        <v>12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5" t="s">
        <v>8</v>
      </c>
      <c r="H313" s="5" t="s">
        <v>12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5" t="s">
        <v>8</v>
      </c>
      <c r="H314" s="5" t="s">
        <v>9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5" t="s">
        <v>8</v>
      </c>
      <c r="H315" s="5" t="s">
        <v>9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5" t="s">
        <v>8</v>
      </c>
      <c r="H316" s="5" t="s">
        <v>9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5" t="s">
        <v>8</v>
      </c>
      <c r="H317" s="5" t="s">
        <v>12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0" t="s">
        <v>87</v>
      </c>
      <c r="H318" s="20" t="s">
        <v>12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0" t="s">
        <v>87</v>
      </c>
      <c r="H319" s="20" t="s">
        <v>12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5" t="s">
        <v>8</v>
      </c>
      <c r="H320" s="5" t="s">
        <v>12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5" t="s">
        <v>8</v>
      </c>
      <c r="H321" s="5" t="s">
        <v>12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5" t="s">
        <v>8</v>
      </c>
      <c r="H322" s="5" t="s">
        <v>12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5" t="s">
        <v>8</v>
      </c>
      <c r="H323" s="5" t="s">
        <v>12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5" t="s">
        <v>22</v>
      </c>
      <c r="H324" s="5" t="s">
        <v>45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5" t="s">
        <v>22</v>
      </c>
      <c r="H325" s="5" t="s">
        <v>45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5" t="s">
        <v>22</v>
      </c>
      <c r="H326" s="5" t="s">
        <v>45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5" t="s">
        <v>22</v>
      </c>
      <c r="H327" s="5" t="s">
        <v>45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4" t="s">
        <v>16</v>
      </c>
      <c r="H328" s="20" t="s">
        <v>19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4" t="s">
        <v>16</v>
      </c>
      <c r="H329" s="20" t="s">
        <v>19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4" t="s">
        <v>16</v>
      </c>
      <c r="H330" s="20" t="s">
        <v>19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4" t="s">
        <v>16</v>
      </c>
      <c r="H331" s="20" t="s">
        <v>19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5" t="s">
        <v>8</v>
      </c>
      <c r="H332" s="5" t="s">
        <v>12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5" t="s">
        <v>8</v>
      </c>
      <c r="H333" s="5" t="s">
        <v>12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5" t="s">
        <v>8</v>
      </c>
      <c r="H334" s="5" t="s">
        <v>12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5" t="s">
        <v>8</v>
      </c>
      <c r="H335" s="5" t="s">
        <v>12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5" t="s">
        <v>9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5" t="s">
        <v>9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5" t="s">
        <v>16</v>
      </c>
      <c r="H338" s="5" t="s">
        <v>19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5" t="s">
        <v>16</v>
      </c>
      <c r="H339" s="5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5" t="s">
        <v>12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5" t="s">
        <v>12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5" t="s">
        <v>12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5" t="s">
        <v>12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5" t="s">
        <v>16</v>
      </c>
      <c r="H344" s="5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5" t="s">
        <v>16</v>
      </c>
      <c r="H345" s="5" t="s">
        <v>19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5" t="s">
        <v>16</v>
      </c>
      <c r="H346" s="5" t="s">
        <v>19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5" t="s">
        <v>16</v>
      </c>
      <c r="H347" s="5" t="s">
        <v>19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5" t="s">
        <v>16</v>
      </c>
      <c r="H348" s="5" t="s">
        <v>19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5" t="s">
        <v>16</v>
      </c>
      <c r="H349" s="5" t="s">
        <v>19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5" t="s">
        <v>16</v>
      </c>
      <c r="H350" s="5" t="s">
        <v>19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5" t="s">
        <v>16</v>
      </c>
      <c r="H351" s="5" t="s">
        <v>19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5" t="s">
        <v>16</v>
      </c>
      <c r="H352" s="5" t="s">
        <v>19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5" t="s">
        <v>16</v>
      </c>
      <c r="H353" s="5" t="s">
        <v>19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5" t="s">
        <v>16</v>
      </c>
      <c r="H354" s="5" t="s">
        <v>19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5" t="s">
        <v>16</v>
      </c>
      <c r="H355" s="5" t="s">
        <v>19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17" t="s">
        <v>22</v>
      </c>
      <c r="H356" s="17" t="s">
        <v>45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17" t="s">
        <v>22</v>
      </c>
      <c r="H357" s="17" t="s">
        <v>45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17" t="s">
        <v>22</v>
      </c>
      <c r="H358" s="17" t="s">
        <v>45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17" t="s">
        <v>22</v>
      </c>
      <c r="H359" s="17" t="s">
        <v>45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17" t="s">
        <v>22</v>
      </c>
      <c r="H360" s="17" t="s">
        <v>45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17" t="s">
        <v>22</v>
      </c>
      <c r="H361" s="17" t="s">
        <v>45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5" t="s">
        <v>9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5" t="s">
        <v>9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5" t="s">
        <v>16</v>
      </c>
      <c r="H364" s="5" t="s">
        <v>19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5" t="s">
        <v>16</v>
      </c>
      <c r="H365" s="5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5" t="s">
        <v>12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5" t="s">
        <v>12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5" t="s">
        <v>12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5" t="s">
        <v>12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5" t="s">
        <v>12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5" t="s">
        <v>12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5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5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5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5" t="s">
        <v>12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5" t="s">
        <v>12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5" t="s">
        <v>8</v>
      </c>
      <c r="H377" s="5" t="s">
        <v>12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5" t="s">
        <v>12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5" t="s">
        <v>12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5" t="s">
        <v>8</v>
      </c>
      <c r="H380" s="5" t="s">
        <v>12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5" t="s">
        <v>8</v>
      </c>
      <c r="H381" s="5" t="s">
        <v>12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5" t="s">
        <v>8</v>
      </c>
      <c r="H382" s="5" t="s">
        <v>12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5" t="s">
        <v>8</v>
      </c>
      <c r="H383" s="5" t="s">
        <v>12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5" t="s">
        <v>16</v>
      </c>
      <c r="H384" s="5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5" t="s">
        <v>16</v>
      </c>
      <c r="H385" s="5" t="s">
        <v>19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5" t="s">
        <v>16</v>
      </c>
      <c r="H386" s="5" t="s">
        <v>19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5" t="s">
        <v>16</v>
      </c>
      <c r="H387" s="5" t="s">
        <v>19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5" t="s">
        <v>16</v>
      </c>
      <c r="H388" s="5" t="s">
        <v>19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5" t="s">
        <v>16</v>
      </c>
      <c r="H389" s="5" t="s">
        <v>19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5" t="s">
        <v>16</v>
      </c>
      <c r="H390" s="5" t="s">
        <v>19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5" t="s">
        <v>16</v>
      </c>
      <c r="H391" s="5" t="s">
        <v>19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5" t="s">
        <v>16</v>
      </c>
      <c r="H392" s="5" t="s">
        <v>19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5" t="s">
        <v>16</v>
      </c>
      <c r="H393" s="5" t="s">
        <v>19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5" t="s">
        <v>16</v>
      </c>
      <c r="H394" s="5" t="s">
        <v>19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5" t="s">
        <v>16</v>
      </c>
      <c r="H395" s="5" t="s">
        <v>19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17" t="s">
        <v>22</v>
      </c>
      <c r="H396" s="17" t="s">
        <v>45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17" t="s">
        <v>22</v>
      </c>
      <c r="H397" s="17" t="s">
        <v>45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17" t="s">
        <v>22</v>
      </c>
      <c r="H398" s="17" t="s">
        <v>45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17" t="s">
        <v>22</v>
      </c>
      <c r="H399" s="17" t="s">
        <v>45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17" t="s">
        <v>22</v>
      </c>
      <c r="H400" s="17" t="s">
        <v>45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17" t="s">
        <v>22</v>
      </c>
      <c r="H401" s="17" t="s">
        <v>45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5" t="s">
        <v>16</v>
      </c>
      <c r="H402" s="5" t="s">
        <v>19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5" t="s">
        <v>16</v>
      </c>
      <c r="H403" s="5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5" t="s">
        <v>12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5" t="s">
        <v>12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5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5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5" t="s">
        <v>12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5" t="s">
        <v>8</v>
      </c>
      <c r="H409" s="5" t="s">
        <v>12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5" t="s">
        <v>12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5" t="s">
        <v>12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5" t="s">
        <v>8</v>
      </c>
      <c r="H412" s="5" t="s">
        <v>12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5" t="s">
        <v>8</v>
      </c>
      <c r="H413" s="5" t="s">
        <v>12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5" t="s">
        <v>8</v>
      </c>
      <c r="H414" s="5" t="s">
        <v>12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5" t="s">
        <v>8</v>
      </c>
      <c r="H415" s="5" t="s">
        <v>12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5" t="s">
        <v>12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5" t="s">
        <v>12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5" t="s">
        <v>12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5" t="s">
        <v>12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5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5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5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5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5" t="s">
        <v>9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5" t="s">
        <v>9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5" t="s">
        <v>9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5" t="s">
        <v>9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5" t="s">
        <v>16</v>
      </c>
      <c r="H428" s="5" t="s">
        <v>19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5" t="s">
        <v>16</v>
      </c>
      <c r="H429" s="5" t="s">
        <v>19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5" t="s">
        <v>16</v>
      </c>
      <c r="H430" s="5" t="s">
        <v>19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5" t="s">
        <v>16</v>
      </c>
      <c r="H431" s="5" t="s">
        <v>19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5" t="s">
        <v>16</v>
      </c>
      <c r="H432" s="5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87</v>
      </c>
      <c r="H433" s="17" t="s">
        <v>9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87</v>
      </c>
      <c r="H434" s="17" t="s">
        <v>9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87</v>
      </c>
      <c r="H435" s="17" t="s">
        <v>9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87</v>
      </c>
      <c r="H436" s="17" t="s">
        <v>9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87</v>
      </c>
      <c r="H437" s="17" t="s">
        <v>9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87</v>
      </c>
      <c r="H438" s="17" t="s">
        <v>9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17" t="s">
        <v>22</v>
      </c>
      <c r="H439" s="17" t="s">
        <v>45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17" t="s">
        <v>22</v>
      </c>
      <c r="H440" s="17" t="s">
        <v>45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17" t="s">
        <v>22</v>
      </c>
      <c r="H441" s="17" t="s">
        <v>45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17" t="s">
        <v>22</v>
      </c>
      <c r="H442" s="17" t="s">
        <v>45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17" t="s">
        <v>22</v>
      </c>
      <c r="H443" s="17" t="s">
        <v>45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45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5" t="s">
        <v>16</v>
      </c>
      <c r="H445" s="5" t="s">
        <v>19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5" t="s">
        <v>16</v>
      </c>
      <c r="H446" s="5" t="s">
        <v>19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5" t="s">
        <v>16</v>
      </c>
      <c r="H447" s="5" t="s">
        <v>19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5" t="s">
        <v>16</v>
      </c>
      <c r="H448" s="5" t="s">
        <v>19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5" t="s">
        <v>16</v>
      </c>
      <c r="H449" s="5" t="s">
        <v>19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5" t="s">
        <v>16</v>
      </c>
      <c r="H450" s="5" t="s">
        <v>19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5" t="s">
        <v>16</v>
      </c>
      <c r="H451" s="5" t="s">
        <v>19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