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i5\Downloads\"/>
    </mc:Choice>
  </mc:AlternateContent>
  <xr:revisionPtr revIDLastSave="0" documentId="13_ncr:1_{CF7F22A8-B888-4181-BA3C-B7F414696705}" xr6:coauthVersionLast="47" xr6:coauthVersionMax="47" xr10:uidLastSave="{00000000-0000-0000-0000-000000000000}"/>
  <bookViews>
    <workbookView xWindow="810" yWindow="-120" windowWidth="19710" windowHeight="11760" xr2:uid="{00000000-000D-0000-FFFF-FFFF00000000}"/>
  </bookViews>
  <sheets>
    <sheet name="Original" sheetId="4" r:id="rId1"/>
    <sheet name="Zero-Shot Classe" sheetId="1" r:id="rId2"/>
    <sheet name="Zero-Shot Classe-Tipo" sheetId="2" r:id="rId3"/>
    <sheet name="One-Shot" sheetId="3" r:id="rId4"/>
  </sheets>
  <definedNames>
    <definedName name="_xlnm._FilterDatabase" localSheetId="3" hidden="1">'One-Shot'!$B$1:$H$450</definedName>
    <definedName name="_xlnm._FilterDatabase" localSheetId="0" hidden="1">Original!$B$1:$H$999</definedName>
    <definedName name="_xlnm._FilterDatabase" localSheetId="1" hidden="1">'Zero-Shot Classe'!$B$1:$G$450</definedName>
    <definedName name="_xlnm._FilterDatabase" localSheetId="2" hidden="1">'Zero-Shot Classe-Tipo'!$B$1:$I$450</definedName>
  </definedNames>
  <calcPr calcId="191029"/>
</workbook>
</file>

<file path=xl/calcChain.xml><?xml version="1.0" encoding="utf-8"?>
<calcChain xmlns="http://schemas.openxmlformats.org/spreadsheetml/2006/main">
  <c r="D447" i="4" l="1"/>
  <c r="C447" i="4"/>
  <c r="B447" i="4"/>
  <c r="E445" i="4"/>
  <c r="E446" i="4" s="1"/>
  <c r="E447" i="4" s="1"/>
  <c r="E448" i="4" s="1"/>
  <c r="E449" i="4" s="1"/>
  <c r="E450" i="4" s="1"/>
  <c r="D445" i="4"/>
  <c r="C445" i="4"/>
  <c r="B445" i="4"/>
  <c r="C443" i="4"/>
  <c r="F442" i="4"/>
  <c r="D442" i="4"/>
  <c r="D443" i="4" s="1"/>
  <c r="C442" i="4"/>
  <c r="B442" i="4"/>
  <c r="B443" i="4" s="1"/>
  <c r="E441" i="4"/>
  <c r="E442" i="4" s="1"/>
  <c r="E443" i="4" s="1"/>
  <c r="D440" i="4"/>
  <c r="B440" i="4"/>
  <c r="D439" i="4"/>
  <c r="C439" i="4"/>
  <c r="C440" i="4" s="1"/>
  <c r="B439" i="4"/>
  <c r="E436" i="4"/>
  <c r="E437" i="4" s="1"/>
  <c r="E438" i="4" s="1"/>
  <c r="E431" i="4"/>
  <c r="E432" i="4" s="1"/>
  <c r="E433" i="4" s="1"/>
  <c r="E434" i="4" s="1"/>
  <c r="E426" i="4"/>
  <c r="E427" i="4" s="1"/>
  <c r="E428" i="4" s="1"/>
  <c r="E429" i="4" s="1"/>
  <c r="E421" i="4"/>
  <c r="E422" i="4" s="1"/>
  <c r="E423" i="4" s="1"/>
  <c r="E424" i="4" s="1"/>
  <c r="E416" i="4"/>
  <c r="E417" i="4" s="1"/>
  <c r="E418" i="4" s="1"/>
  <c r="E419" i="4" s="1"/>
  <c r="E411" i="4"/>
  <c r="E412" i="4" s="1"/>
  <c r="E413" i="4" s="1"/>
  <c r="E414" i="4" s="1"/>
  <c r="E406" i="4"/>
  <c r="E407" i="4" s="1"/>
  <c r="E408" i="4" s="1"/>
  <c r="E409" i="4" s="1"/>
  <c r="E401" i="4"/>
  <c r="E402" i="4" s="1"/>
  <c r="E403" i="4" s="1"/>
  <c r="E404" i="4" s="1"/>
  <c r="E396" i="4"/>
  <c r="E397" i="4" s="1"/>
  <c r="E398" i="4" s="1"/>
  <c r="E399" i="4" s="1"/>
  <c r="E391" i="4"/>
  <c r="E392" i="4" s="1"/>
  <c r="E393" i="4" s="1"/>
  <c r="E394" i="4" s="1"/>
  <c r="E386" i="4"/>
  <c r="E387" i="4" s="1"/>
  <c r="E388" i="4" s="1"/>
  <c r="E389" i="4" s="1"/>
  <c r="E381" i="4"/>
  <c r="E382" i="4" s="1"/>
  <c r="E383" i="4" s="1"/>
  <c r="E384" i="4" s="1"/>
  <c r="E376" i="4"/>
  <c r="E377" i="4" s="1"/>
  <c r="E378" i="4" s="1"/>
  <c r="E379" i="4" s="1"/>
  <c r="E371" i="4"/>
  <c r="E372" i="4" s="1"/>
  <c r="E373" i="4" s="1"/>
  <c r="E374" i="4" s="1"/>
  <c r="E366" i="4"/>
  <c r="E367" i="4" s="1"/>
  <c r="E368" i="4" s="1"/>
  <c r="E369" i="4" s="1"/>
  <c r="E361" i="4"/>
  <c r="E362" i="4" s="1"/>
  <c r="E363" i="4" s="1"/>
  <c r="E364" i="4" s="1"/>
  <c r="E356" i="4"/>
  <c r="E357" i="4" s="1"/>
  <c r="E358" i="4" s="1"/>
  <c r="E359" i="4" s="1"/>
  <c r="E351" i="4"/>
  <c r="E352" i="4" s="1"/>
  <c r="E353" i="4" s="1"/>
  <c r="E354" i="4" s="1"/>
  <c r="E346" i="4"/>
  <c r="E347" i="4" s="1"/>
  <c r="E348" i="4" s="1"/>
  <c r="E349" i="4" s="1"/>
  <c r="E341" i="4"/>
  <c r="E342" i="4" s="1"/>
  <c r="E343" i="4" s="1"/>
  <c r="E344" i="4" s="1"/>
  <c r="E336" i="4"/>
  <c r="E337" i="4" s="1"/>
  <c r="E338" i="4" s="1"/>
  <c r="E339" i="4" s="1"/>
  <c r="E331" i="4"/>
  <c r="E332" i="4" s="1"/>
  <c r="E333" i="4" s="1"/>
  <c r="E334" i="4" s="1"/>
  <c r="E326" i="4"/>
  <c r="E327" i="4" s="1"/>
  <c r="E328" i="4" s="1"/>
  <c r="E329" i="4" s="1"/>
  <c r="E321" i="4"/>
  <c r="E322" i="4" s="1"/>
  <c r="E323" i="4" s="1"/>
  <c r="E324" i="4" s="1"/>
  <c r="E316" i="4"/>
  <c r="E317" i="4" s="1"/>
  <c r="E318" i="4" s="1"/>
  <c r="E319" i="4" s="1"/>
  <c r="E311" i="4"/>
  <c r="E312" i="4" s="1"/>
  <c r="E313" i="4" s="1"/>
  <c r="E314" i="4" s="1"/>
  <c r="E306" i="4"/>
  <c r="E307" i="4" s="1"/>
  <c r="E308" i="4" s="1"/>
  <c r="E309" i="4" s="1"/>
  <c r="E301" i="4"/>
  <c r="E302" i="4" s="1"/>
  <c r="E303" i="4" s="1"/>
  <c r="E304" i="4" s="1"/>
  <c r="E296" i="4"/>
  <c r="E297" i="4" s="1"/>
  <c r="E298" i="4" s="1"/>
  <c r="E299" i="4" s="1"/>
  <c r="E291" i="4"/>
  <c r="E292" i="4" s="1"/>
  <c r="E293" i="4" s="1"/>
  <c r="E294" i="4" s="1"/>
  <c r="E286" i="4"/>
  <c r="E287" i="4" s="1"/>
  <c r="E288" i="4" s="1"/>
  <c r="E289" i="4" s="1"/>
  <c r="E281" i="4"/>
  <c r="E282" i="4" s="1"/>
  <c r="E283" i="4" s="1"/>
  <c r="E284" i="4" s="1"/>
  <c r="E276" i="4"/>
  <c r="E277" i="4" s="1"/>
  <c r="E278" i="4" s="1"/>
  <c r="E279" i="4" s="1"/>
  <c r="E271" i="4"/>
  <c r="E272" i="4" s="1"/>
  <c r="E273" i="4" s="1"/>
  <c r="E274" i="4" s="1"/>
  <c r="E266" i="4"/>
  <c r="E267" i="4" s="1"/>
  <c r="E268" i="4" s="1"/>
  <c r="E269" i="4" s="1"/>
  <c r="E261" i="4"/>
  <c r="E262" i="4" s="1"/>
  <c r="E263" i="4" s="1"/>
  <c r="E264" i="4" s="1"/>
  <c r="E256" i="4"/>
  <c r="E257" i="4" s="1"/>
  <c r="E258" i="4" s="1"/>
  <c r="E259" i="4" s="1"/>
  <c r="E251" i="4"/>
  <c r="E252" i="4" s="1"/>
  <c r="E253" i="4" s="1"/>
  <c r="E254" i="4" s="1"/>
  <c r="F246" i="4"/>
  <c r="F247" i="4" s="1"/>
  <c r="F248" i="4" s="1"/>
  <c r="F249" i="4" s="1"/>
  <c r="E246" i="4"/>
  <c r="E247" i="4" s="1"/>
  <c r="E248" i="4" s="1"/>
  <c r="E249" i="4" s="1"/>
  <c r="E241" i="4"/>
  <c r="E242" i="4" s="1"/>
  <c r="E243" i="4" s="1"/>
  <c r="E244" i="4" s="1"/>
  <c r="E236" i="4"/>
  <c r="E237" i="4" s="1"/>
  <c r="E238" i="4" s="1"/>
  <c r="E239" i="4" s="1"/>
  <c r="E231" i="4"/>
  <c r="E232" i="4" s="1"/>
  <c r="E233" i="4" s="1"/>
  <c r="E234" i="4" s="1"/>
  <c r="E226" i="4"/>
  <c r="E227" i="4" s="1"/>
  <c r="E228" i="4" s="1"/>
  <c r="E229" i="4" s="1"/>
  <c r="F221" i="4"/>
  <c r="F222" i="4" s="1"/>
  <c r="F223" i="4" s="1"/>
  <c r="F224" i="4" s="1"/>
  <c r="E221" i="4"/>
  <c r="E222" i="4" s="1"/>
  <c r="E223" i="4" s="1"/>
  <c r="E224" i="4" s="1"/>
  <c r="E216" i="4"/>
  <c r="E217" i="4" s="1"/>
  <c r="E218" i="4" s="1"/>
  <c r="E219" i="4" s="1"/>
  <c r="E211" i="4"/>
  <c r="E212" i="4" s="1"/>
  <c r="E213" i="4" s="1"/>
  <c r="E214" i="4" s="1"/>
  <c r="E206" i="4"/>
  <c r="E207" i="4" s="1"/>
  <c r="E208" i="4" s="1"/>
  <c r="E209" i="4" s="1"/>
  <c r="E201" i="4"/>
  <c r="E202" i="4" s="1"/>
  <c r="E203" i="4" s="1"/>
  <c r="E204" i="4" s="1"/>
  <c r="E196" i="4"/>
  <c r="E197" i="4" s="1"/>
  <c r="E198" i="4" s="1"/>
  <c r="E199" i="4" s="1"/>
  <c r="E191" i="4"/>
  <c r="E192" i="4" s="1"/>
  <c r="E193" i="4" s="1"/>
  <c r="E194" i="4" s="1"/>
  <c r="E186" i="4"/>
  <c r="E187" i="4" s="1"/>
  <c r="E188" i="4" s="1"/>
  <c r="E189" i="4" s="1"/>
  <c r="E181" i="4"/>
  <c r="E182" i="4" s="1"/>
  <c r="E183" i="4" s="1"/>
  <c r="E184" i="4" s="1"/>
  <c r="E176" i="4"/>
  <c r="E177" i="4" s="1"/>
  <c r="E178" i="4" s="1"/>
  <c r="E179" i="4" s="1"/>
  <c r="E173" i="4"/>
  <c r="E174" i="4" s="1"/>
  <c r="E172" i="4"/>
  <c r="E170" i="4"/>
  <c r="E169" i="4"/>
  <c r="E163" i="4"/>
  <c r="E164" i="4" s="1"/>
  <c r="E165" i="4" s="1"/>
  <c r="E166" i="4" s="1"/>
  <c r="E167" i="4" s="1"/>
  <c r="E162" i="4"/>
  <c r="E156" i="4"/>
  <c r="E157" i="4" s="1"/>
  <c r="E158" i="4" s="1"/>
  <c r="E159" i="4" s="1"/>
  <c r="E160" i="4" s="1"/>
  <c r="E153" i="4"/>
  <c r="E154" i="4" s="1"/>
  <c r="E152" i="4"/>
  <c r="E147" i="4"/>
  <c r="E148" i="4" s="1"/>
  <c r="E149" i="4" s="1"/>
  <c r="E150" i="4" s="1"/>
  <c r="E141" i="4"/>
  <c r="E142" i="4" s="1"/>
  <c r="E143" i="4" s="1"/>
  <c r="E144" i="4" s="1"/>
  <c r="E145" i="4" s="1"/>
  <c r="E139" i="4"/>
  <c r="E138" i="4"/>
  <c r="E136" i="4"/>
  <c r="E132" i="4"/>
  <c r="E133" i="4" s="1"/>
  <c r="E134" i="4" s="1"/>
  <c r="E129" i="4"/>
  <c r="E130" i="4" s="1"/>
  <c r="E128" i="4"/>
  <c r="E127" i="4"/>
  <c r="E126" i="4"/>
  <c r="E120" i="4"/>
  <c r="E121" i="4" s="1"/>
  <c r="E122" i="4" s="1"/>
  <c r="E123" i="4" s="1"/>
  <c r="E124" i="4" s="1"/>
  <c r="E113" i="4"/>
  <c r="E114" i="4" s="1"/>
  <c r="E115" i="4" s="1"/>
  <c r="E116" i="4" s="1"/>
  <c r="E117" i="4" s="1"/>
  <c r="E118" i="4" s="1"/>
  <c r="E109" i="4"/>
  <c r="E110" i="4" s="1"/>
  <c r="E108" i="4"/>
  <c r="E106" i="4"/>
  <c r="E105" i="4"/>
  <c r="E101" i="4"/>
  <c r="E102" i="4" s="1"/>
  <c r="E103" i="4" s="1"/>
  <c r="E100" i="4"/>
  <c r="E98" i="4"/>
  <c r="E97" i="4"/>
  <c r="E96" i="4"/>
  <c r="E91" i="4"/>
  <c r="E92" i="4" s="1"/>
  <c r="E93" i="4" s="1"/>
  <c r="E94" i="4" s="1"/>
  <c r="E88" i="4"/>
  <c r="E89" i="4" s="1"/>
  <c r="E86" i="4"/>
  <c r="E85" i="4"/>
  <c r="E84" i="4"/>
  <c r="E82" i="4"/>
  <c r="E81" i="4"/>
  <c r="E77" i="4"/>
  <c r="E78" i="4" s="1"/>
  <c r="E79" i="4" s="1"/>
  <c r="E76" i="4"/>
  <c r="E75" i="4"/>
  <c r="E70" i="4"/>
  <c r="E71" i="4" s="1"/>
  <c r="E72" i="4" s="1"/>
  <c r="E73" i="4" s="1"/>
  <c r="E69" i="4"/>
  <c r="F63" i="4"/>
  <c r="F64" i="4" s="1"/>
  <c r="F65" i="4" s="1"/>
  <c r="F66" i="4" s="1"/>
  <c r="F67" i="4" s="1"/>
  <c r="E63" i="4"/>
  <c r="E64" i="4" s="1"/>
  <c r="E65" i="4" s="1"/>
  <c r="E66" i="4" s="1"/>
  <c r="E67" i="4" s="1"/>
  <c r="E58" i="4"/>
  <c r="E59" i="4" s="1"/>
  <c r="E60" i="4" s="1"/>
  <c r="E61" i="4" s="1"/>
  <c r="D58" i="4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C58" i="4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F57" i="4"/>
  <c r="F58" i="4" s="1"/>
  <c r="F59" i="4" s="1"/>
  <c r="F60" i="4" s="1"/>
  <c r="F61" i="4" s="1"/>
  <c r="E57" i="4"/>
  <c r="D57" i="4"/>
  <c r="C57" i="4"/>
  <c r="B57" i="4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E51" i="4"/>
  <c r="E52" i="4" s="1"/>
  <c r="E53" i="4" s="1"/>
  <c r="E54" i="4" s="1"/>
  <c r="E55" i="4" s="1"/>
  <c r="E45" i="4"/>
  <c r="E46" i="4" s="1"/>
  <c r="E47" i="4" s="1"/>
  <c r="E48" i="4" s="1"/>
  <c r="E49" i="4" s="1"/>
  <c r="E40" i="4"/>
  <c r="E41" i="4" s="1"/>
  <c r="E42" i="4" s="1"/>
  <c r="E43" i="4" s="1"/>
  <c r="E39" i="4"/>
  <c r="D39" i="4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C39" i="4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B39" i="4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E37" i="4"/>
  <c r="E36" i="4"/>
  <c r="E33" i="4"/>
  <c r="E34" i="4" s="1"/>
  <c r="E31" i="4"/>
  <c r="E28" i="4"/>
  <c r="E29" i="4" s="1"/>
  <c r="E27" i="4"/>
  <c r="E26" i="4"/>
  <c r="E24" i="4"/>
  <c r="E23" i="4"/>
  <c r="E19" i="4"/>
  <c r="E20" i="4" s="1"/>
  <c r="E21" i="4" s="1"/>
  <c r="F16" i="4"/>
  <c r="F17" i="4" s="1"/>
  <c r="F15" i="4"/>
  <c r="E15" i="4"/>
  <c r="E16" i="4" s="1"/>
  <c r="E17" i="4" s="1"/>
  <c r="E11" i="4"/>
  <c r="E12" i="4" s="1"/>
  <c r="E13" i="4" s="1"/>
  <c r="E8" i="4"/>
  <c r="E9" i="4" s="1"/>
  <c r="E7" i="4"/>
  <c r="F5" i="4"/>
  <c r="E4" i="4"/>
  <c r="E5" i="4" s="1"/>
  <c r="F3" i="4"/>
  <c r="E3" i="4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K6" i="3"/>
  <c r="L6" i="3" s="1"/>
  <c r="L3" i="3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0" i="2"/>
  <c r="I229" i="2"/>
  <c r="I228" i="2"/>
  <c r="I227" i="2"/>
  <c r="I226" i="2"/>
  <c r="I225" i="2"/>
  <c r="I224" i="2"/>
  <c r="I223" i="2"/>
  <c r="I222" i="2"/>
  <c r="I221" i="2"/>
  <c r="I215" i="2"/>
  <c r="I214" i="2"/>
  <c r="I213" i="2"/>
  <c r="I212" i="2"/>
  <c r="I210" i="2"/>
  <c r="I209" i="2"/>
  <c r="I208" i="2"/>
  <c r="I207" i="2"/>
  <c r="I206" i="2"/>
  <c r="I205" i="2"/>
  <c r="I204" i="2"/>
  <c r="I203" i="2"/>
  <c r="I202" i="2"/>
  <c r="I201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K6" i="2"/>
  <c r="L3" i="2" s="1"/>
  <c r="I6" i="2"/>
  <c r="I5" i="2"/>
  <c r="I4" i="2"/>
  <c r="I3" i="2"/>
  <c r="I2" i="2"/>
  <c r="J4" i="1"/>
  <c r="K4" i="1" s="1"/>
  <c r="K2" i="1" l="1"/>
  <c r="L4" i="2"/>
  <c r="L4" i="3"/>
  <c r="K3" i="1"/>
  <c r="L5" i="3"/>
  <c r="L5" i="2"/>
  <c r="L6" i="2"/>
</calcChain>
</file>

<file path=xl/sharedStrings.xml><?xml version="1.0" encoding="utf-8"?>
<sst xmlns="http://schemas.openxmlformats.org/spreadsheetml/2006/main" count="4898" uniqueCount="185">
  <si>
    <t>Ano da Prova</t>
  </si>
  <si>
    <t>Nível da Prova</t>
  </si>
  <si>
    <t>Fase da Prova</t>
  </si>
  <si>
    <t>Número da Questão</t>
  </si>
  <si>
    <t>Nome do Cenário</t>
  </si>
  <si>
    <t>Classe</t>
  </si>
  <si>
    <t>Palíndromes</t>
  </si>
  <si>
    <t>Definição</t>
  </si>
  <si>
    <t>Acertos:</t>
  </si>
  <si>
    <t>Erros:</t>
  </si>
  <si>
    <t>Roland Garros</t>
  </si>
  <si>
    <t>Cálculo</t>
  </si>
  <si>
    <t>Total:</t>
  </si>
  <si>
    <t>Cavalo</t>
  </si>
  <si>
    <t>Biblioteca</t>
  </si>
  <si>
    <t>Agrupamento</t>
  </si>
  <si>
    <t>Salas de Aulas</t>
  </si>
  <si>
    <t>Supermercado</t>
  </si>
  <si>
    <t>Ordenação</t>
  </si>
  <si>
    <t>Maionese</t>
  </si>
  <si>
    <t>Atendimento ao Consumidor</t>
  </si>
  <si>
    <t>Clara e Luiz</t>
  </si>
  <si>
    <t>Mapas da Prefeitura</t>
  </si>
  <si>
    <t>Economia no Transporte</t>
  </si>
  <si>
    <t>Projeto de Software</t>
  </si>
  <si>
    <t>Florista</t>
  </si>
  <si>
    <t>Linguagem de Programação</t>
  </si>
  <si>
    <t>Pane Seca</t>
  </si>
  <si>
    <t>Semana de Provas</t>
  </si>
  <si>
    <t>Jogo de Futebol</t>
  </si>
  <si>
    <t>Excursão</t>
  </si>
  <si>
    <t>Azulejos</t>
  </si>
  <si>
    <t>Uma Casa Muito Suspeita</t>
  </si>
  <si>
    <t>Tornado</t>
  </si>
  <si>
    <t>Analistas de Sistemas</t>
  </si>
  <si>
    <t>Horta da Maria</t>
  </si>
  <si>
    <t>Sanduíches do João</t>
  </si>
  <si>
    <t>Cenário da questão 15</t>
  </si>
  <si>
    <t>Cenário da questão 22</t>
  </si>
  <si>
    <t>MP3 na Cabeça</t>
  </si>
  <si>
    <t>Banda de Rock</t>
  </si>
  <si>
    <t>Palestras</t>
  </si>
  <si>
    <t>Medalhas e Troféus</t>
  </si>
  <si>
    <t>Hidrologia</t>
  </si>
  <si>
    <t>Representação Pós-Fixa</t>
  </si>
  <si>
    <t>Pantanal</t>
  </si>
  <si>
    <t>Transporte Escolar</t>
  </si>
  <si>
    <t>Mapas</t>
  </si>
  <si>
    <t>Torneio de Tênis</t>
  </si>
  <si>
    <t>Sequências Perfeitas</t>
  </si>
  <si>
    <t>Riquezas de Atlântida</t>
  </si>
  <si>
    <t>Faxina Semanal</t>
  </si>
  <si>
    <t>Compras na Feira</t>
  </si>
  <si>
    <t>Meu Primeiro Computador</t>
  </si>
  <si>
    <t>Cada Um No Seu Lugar</t>
  </si>
  <si>
    <t>Aluguel de Filmes</t>
  </si>
  <si>
    <t>Quem Ganhou o Jogo?</t>
  </si>
  <si>
    <t>Carteiro</t>
  </si>
  <si>
    <t>Tocador de MP3</t>
  </si>
  <si>
    <t>Quem é o Líder?</t>
  </si>
  <si>
    <t>No Restaurante Italiano</t>
  </si>
  <si>
    <t>Marionetes</t>
  </si>
  <si>
    <t>Fórmula 1</t>
  </si>
  <si>
    <t>Jornaleiro</t>
  </si>
  <si>
    <t>Sobremesas</t>
  </si>
  <si>
    <t>Colorindo o Mapa</t>
  </si>
  <si>
    <t>A Quitanda</t>
  </si>
  <si>
    <t>Rede de Computadores</t>
  </si>
  <si>
    <t>Um Dia de Trabalho</t>
  </si>
  <si>
    <t>Na Hora do Almoço</t>
  </si>
  <si>
    <t>Desenvolvimento de Jogos</t>
  </si>
  <si>
    <t>Pilotos de Teste</t>
  </si>
  <si>
    <t>Férias</t>
  </si>
  <si>
    <t>Prova de Matemática</t>
  </si>
  <si>
    <t>Livraria</t>
  </si>
  <si>
    <t>Viagem a Marte</t>
  </si>
  <si>
    <t>Artes Marciais</t>
  </si>
  <si>
    <t>Jogo de Queimada</t>
  </si>
  <si>
    <t>Reações Químicas</t>
  </si>
  <si>
    <t>Máquina de Salgadinhos</t>
  </si>
  <si>
    <t>Os Astronautas</t>
  </si>
  <si>
    <t>Fila no Banco</t>
  </si>
  <si>
    <t>Salvando Arquivos</t>
  </si>
  <si>
    <t>Sorveteria</t>
  </si>
  <si>
    <t>Vagas de Estacionamento</t>
  </si>
  <si>
    <t>Cuidando do Jardim</t>
  </si>
  <si>
    <t>Dançando no Baile</t>
  </si>
  <si>
    <t>Futebol</t>
  </si>
  <si>
    <t>Carona para a Prova</t>
  </si>
  <si>
    <t>Painéis</t>
  </si>
  <si>
    <t>Os Carpinteiros</t>
  </si>
  <si>
    <t>Faxina</t>
  </si>
  <si>
    <t>Combate à Dengue</t>
  </si>
  <si>
    <t>Campeonato de Lógica</t>
  </si>
  <si>
    <t>Carteira de Motorista</t>
  </si>
  <si>
    <t>Escolha do Curso</t>
  </si>
  <si>
    <t>Classificação - Tipo</t>
  </si>
  <si>
    <t>Tipo</t>
  </si>
  <si>
    <t>Outros</t>
  </si>
  <si>
    <t>Outros - Definição</t>
  </si>
  <si>
    <t>Outros - Cálculo</t>
  </si>
  <si>
    <t>Acertos Parciais:</t>
  </si>
  <si>
    <t>Ordenação - Linear</t>
  </si>
  <si>
    <t>Outros - Algoritmos</t>
  </si>
  <si>
    <t>Agrupamento - N-Grupos</t>
  </si>
  <si>
    <t>Ordenação - Circular</t>
  </si>
  <si>
    <t>Ordenação - Livre</t>
  </si>
  <si>
    <t>Outros - Grupos Ordenados</t>
  </si>
  <si>
    <t>Agrupamento - 1 Grupo</t>
  </si>
  <si>
    <t>Ordenação - Quadrática</t>
  </si>
  <si>
    <t>Agrupamento - N Grupos</t>
  </si>
  <si>
    <t>Livre</t>
  </si>
  <si>
    <t>Agrupamento - 1 grupo</t>
  </si>
  <si>
    <t>Agrupamento - N grupos</t>
  </si>
  <si>
    <t>Linear</t>
  </si>
  <si>
    <t>1 Grupo</t>
  </si>
  <si>
    <t>N-Grupos</t>
  </si>
  <si>
    <t>Circular</t>
  </si>
  <si>
    <t>O Bolo Sumiu!</t>
  </si>
  <si>
    <t>Grupos Ordenados</t>
  </si>
  <si>
    <t>Ano</t>
  </si>
  <si>
    <t>Nível</t>
  </si>
  <si>
    <t>Fase</t>
  </si>
  <si>
    <t>Questão</t>
  </si>
  <si>
    <t>Tema</t>
  </si>
  <si>
    <t>Cavalo - Xadrez</t>
  </si>
  <si>
    <t>Salas de Aula</t>
  </si>
  <si>
    <t>2 grupos</t>
  </si>
  <si>
    <t>Quadrática</t>
  </si>
  <si>
    <t>Dedução</t>
  </si>
  <si>
    <t>Mapas da prefeitura</t>
  </si>
  <si>
    <t>Economia no transporte</t>
  </si>
  <si>
    <t>Projeto de software</t>
  </si>
  <si>
    <t>3 grupos</t>
  </si>
  <si>
    <t>Linguagem de programação</t>
  </si>
  <si>
    <t>Ordenamento</t>
  </si>
  <si>
    <t>Semana de provas</t>
  </si>
  <si>
    <t>Jogo de futebol</t>
  </si>
  <si>
    <t>Uma casa muito suspeita</t>
  </si>
  <si>
    <t>Analistas de sistemas</t>
  </si>
  <si>
    <t>Horta de maria</t>
  </si>
  <si>
    <t>Contínuo</t>
  </si>
  <si>
    <t>O bolo sumiu!</t>
  </si>
  <si>
    <t>MP3 na cabeça</t>
  </si>
  <si>
    <t>1 grupo</t>
  </si>
  <si>
    <t>Banda de rock</t>
  </si>
  <si>
    <t>Representação pós-fixa</t>
  </si>
  <si>
    <t>Transporte escolar</t>
  </si>
  <si>
    <t>Torneio de tênis</t>
  </si>
  <si>
    <t>Sequencias perfeitas</t>
  </si>
  <si>
    <t>Riquezas de atlântida</t>
  </si>
  <si>
    <t>Faxina semanal</t>
  </si>
  <si>
    <t>Compras na feira</t>
  </si>
  <si>
    <t>Meu primeiro computador</t>
  </si>
  <si>
    <t>Cada um no seu lugar</t>
  </si>
  <si>
    <t>Aluguel de filmes</t>
  </si>
  <si>
    <t>Quem ganhou o jogo?</t>
  </si>
  <si>
    <t>Quem é o líder?</t>
  </si>
  <si>
    <t>No restaurante italiano</t>
  </si>
  <si>
    <t>Colorindo o mapa</t>
  </si>
  <si>
    <t>A quitanda</t>
  </si>
  <si>
    <t>Rede de computadores</t>
  </si>
  <si>
    <t>Um dia de trabalho</t>
  </si>
  <si>
    <t>Na hora do almoço</t>
  </si>
  <si>
    <t>Desenvolvimento de jogos</t>
  </si>
  <si>
    <t>Pilotos de teste</t>
  </si>
  <si>
    <t>Prova de matemática</t>
  </si>
  <si>
    <t>Viagem a marte</t>
  </si>
  <si>
    <t>Jogo de queimada</t>
  </si>
  <si>
    <t>Reações químicas</t>
  </si>
  <si>
    <t>Máquina de salgadinhos</t>
  </si>
  <si>
    <t>Os astronautas</t>
  </si>
  <si>
    <t>Fila no banco</t>
  </si>
  <si>
    <t>Salvando arquivos</t>
  </si>
  <si>
    <t>Combate à dengue</t>
  </si>
  <si>
    <t>Campeonato de lógica</t>
  </si>
  <si>
    <t>Carteira de motorista</t>
  </si>
  <si>
    <t>Escolha do curso</t>
  </si>
  <si>
    <t>4 grupos</t>
  </si>
  <si>
    <t>Vagas de estacionamento</t>
  </si>
  <si>
    <t>Cuidando do jardim</t>
  </si>
  <si>
    <t>Dançando no baile</t>
  </si>
  <si>
    <t>Carona para a prova</t>
  </si>
  <si>
    <t>Os carpinteiros</t>
  </si>
  <si>
    <t>Pane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</si>
</sst>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Verdana"/>
    </font>
    <font>
      <sz val="10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0" fontId="2" fillId="0" borderId="1" xfId="0" applyNumberFormat="1" applyFont="1" applyBorder="1"/>
    <xf numFmtId="0" fontId="2" fillId="3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left"/>
    </xf>
    <xf numFmtId="10" fontId="2" fillId="0" borderId="2" xfId="0" applyNumberFormat="1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10" fontId="2" fillId="0" borderId="3" xfId="0" applyNumberFormat="1" applyFont="1" applyBorder="1"/>
    <xf numFmtId="0" fontId="3" fillId="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/>
    <xf numFmtId="0" fontId="2" fillId="4" borderId="4" xfId="0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0" fontId="2" fillId="0" borderId="4" xfId="0" applyNumberFormat="1" applyFont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2" fillId="0" borderId="0" xfId="0" applyFont="1"/>
    <xf numFmtId="0" fontId="3" fillId="4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B1:H999"/>
  <sheetViews>
    <sheetView tabSelected="1" workbookViewId="0">
      <pane ySplit="1" topLeftCell="A18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.42578125" customWidth="1"/>
  </cols>
  <sheetData>
    <row r="1" spans="2:8" ht="12.75" x14ac:dyDescent="0.2">
      <c r="B1" s="27" t="s">
        <v>120</v>
      </c>
      <c r="C1" s="27" t="s">
        <v>121</v>
      </c>
      <c r="D1" s="27" t="s">
        <v>122</v>
      </c>
      <c r="E1" s="27" t="s">
        <v>123</v>
      </c>
      <c r="F1" s="28" t="s">
        <v>124</v>
      </c>
      <c r="G1" s="28" t="s">
        <v>5</v>
      </c>
      <c r="H1" s="28" t="s">
        <v>97</v>
      </c>
    </row>
    <row r="2" spans="2:8" ht="12.75" hidden="1" x14ac:dyDescent="0.2">
      <c r="B2" s="29">
        <v>2003</v>
      </c>
      <c r="C2" s="29">
        <v>0</v>
      </c>
      <c r="D2" s="29">
        <v>0</v>
      </c>
      <c r="E2" s="29">
        <v>1</v>
      </c>
      <c r="F2" s="30" t="s">
        <v>6</v>
      </c>
      <c r="G2" s="30" t="s">
        <v>7</v>
      </c>
      <c r="H2" s="30"/>
    </row>
    <row r="3" spans="2:8" ht="12.75" hidden="1" x14ac:dyDescent="0.2">
      <c r="B3" s="29">
        <f t="shared" ref="B3:D3" si="0">B2</f>
        <v>2003</v>
      </c>
      <c r="C3" s="29">
        <f t="shared" si="0"/>
        <v>0</v>
      </c>
      <c r="D3" s="29">
        <f t="shared" si="0"/>
        <v>0</v>
      </c>
      <c r="E3" s="29">
        <f t="shared" ref="E3:E5" si="1">E2+1</f>
        <v>2</v>
      </c>
      <c r="F3" s="30" t="str">
        <f>F2</f>
        <v>Palíndromes</v>
      </c>
      <c r="G3" s="30" t="s">
        <v>7</v>
      </c>
      <c r="H3" s="30"/>
    </row>
    <row r="4" spans="2:8" ht="12.75" hidden="1" x14ac:dyDescent="0.2">
      <c r="B4" s="29">
        <f t="shared" ref="B4:D4" si="2">B3</f>
        <v>2003</v>
      </c>
      <c r="C4" s="29">
        <f t="shared" si="2"/>
        <v>0</v>
      </c>
      <c r="D4" s="29">
        <f t="shared" si="2"/>
        <v>0</v>
      </c>
      <c r="E4" s="29">
        <f t="shared" si="1"/>
        <v>3</v>
      </c>
      <c r="F4" s="30" t="s">
        <v>10</v>
      </c>
      <c r="G4" s="30" t="s">
        <v>11</v>
      </c>
      <c r="H4" s="30"/>
    </row>
    <row r="5" spans="2:8" ht="12.75" hidden="1" x14ac:dyDescent="0.2">
      <c r="B5" s="29">
        <f t="shared" ref="B5:D5" si="3">B4</f>
        <v>2003</v>
      </c>
      <c r="C5" s="29">
        <f t="shared" si="3"/>
        <v>0</v>
      </c>
      <c r="D5" s="29">
        <f t="shared" si="3"/>
        <v>0</v>
      </c>
      <c r="E5" s="29">
        <f t="shared" si="1"/>
        <v>4</v>
      </c>
      <c r="F5" s="30" t="str">
        <f>F4</f>
        <v>Roland Garros</v>
      </c>
      <c r="G5" s="30" t="s">
        <v>11</v>
      </c>
      <c r="H5" s="30"/>
    </row>
    <row r="6" spans="2:8" ht="12.75" hidden="1" x14ac:dyDescent="0.2">
      <c r="B6" s="29">
        <f t="shared" ref="B6:D6" si="4">B5</f>
        <v>2003</v>
      </c>
      <c r="C6" s="29">
        <f t="shared" si="4"/>
        <v>0</v>
      </c>
      <c r="D6" s="29">
        <f t="shared" si="4"/>
        <v>0</v>
      </c>
      <c r="E6" s="29">
        <v>5</v>
      </c>
      <c r="F6" s="30" t="s">
        <v>125</v>
      </c>
      <c r="G6" s="30" t="s">
        <v>7</v>
      </c>
      <c r="H6" s="30"/>
    </row>
    <row r="7" spans="2:8" ht="12.75" hidden="1" x14ac:dyDescent="0.2">
      <c r="B7" s="29">
        <f t="shared" ref="B7:D7" si="5">B6</f>
        <v>2003</v>
      </c>
      <c r="C7" s="29">
        <f t="shared" si="5"/>
        <v>0</v>
      </c>
      <c r="D7" s="29">
        <f t="shared" si="5"/>
        <v>0</v>
      </c>
      <c r="E7" s="29">
        <f t="shared" ref="E7:E9" si="6">E6+1</f>
        <v>6</v>
      </c>
      <c r="F7" s="30" t="s">
        <v>125</v>
      </c>
      <c r="G7" s="30" t="s">
        <v>7</v>
      </c>
      <c r="H7" s="30"/>
    </row>
    <row r="8" spans="2:8" ht="12.75" hidden="1" x14ac:dyDescent="0.2">
      <c r="B8" s="29">
        <f t="shared" ref="B8:D8" si="7">B7</f>
        <v>2003</v>
      </c>
      <c r="C8" s="29">
        <f t="shared" si="7"/>
        <v>0</v>
      </c>
      <c r="D8" s="29">
        <f t="shared" si="7"/>
        <v>0</v>
      </c>
      <c r="E8" s="29">
        <f t="shared" si="6"/>
        <v>7</v>
      </c>
      <c r="F8" s="30" t="s">
        <v>125</v>
      </c>
      <c r="G8" s="30" t="s">
        <v>7</v>
      </c>
      <c r="H8" s="30"/>
    </row>
    <row r="9" spans="2:8" ht="12.75" hidden="1" x14ac:dyDescent="0.2">
      <c r="B9" s="29">
        <f t="shared" ref="B9:D9" si="8">B8</f>
        <v>2003</v>
      </c>
      <c r="C9" s="29">
        <f t="shared" si="8"/>
        <v>0</v>
      </c>
      <c r="D9" s="29">
        <f t="shared" si="8"/>
        <v>0</v>
      </c>
      <c r="E9" s="29">
        <f t="shared" si="6"/>
        <v>8</v>
      </c>
      <c r="F9" s="30" t="s">
        <v>125</v>
      </c>
      <c r="G9" s="30" t="s">
        <v>7</v>
      </c>
      <c r="H9" s="30"/>
    </row>
    <row r="10" spans="2:8" ht="12.75" hidden="1" x14ac:dyDescent="0.2">
      <c r="B10" s="29">
        <f t="shared" ref="B10:D10" si="9">B9</f>
        <v>2003</v>
      </c>
      <c r="C10" s="29">
        <f t="shared" si="9"/>
        <v>0</v>
      </c>
      <c r="D10" s="29">
        <f t="shared" si="9"/>
        <v>0</v>
      </c>
      <c r="E10" s="29">
        <v>9</v>
      </c>
      <c r="F10" s="30" t="s">
        <v>14</v>
      </c>
      <c r="G10" s="30" t="s">
        <v>18</v>
      </c>
      <c r="H10" s="30" t="s">
        <v>114</v>
      </c>
    </row>
    <row r="11" spans="2:8" ht="12.75" hidden="1" x14ac:dyDescent="0.2">
      <c r="B11" s="29">
        <f t="shared" ref="B11:D11" si="10">B10</f>
        <v>2003</v>
      </c>
      <c r="C11" s="29">
        <f t="shared" si="10"/>
        <v>0</v>
      </c>
      <c r="D11" s="29">
        <f t="shared" si="10"/>
        <v>0</v>
      </c>
      <c r="E11" s="29">
        <f t="shared" ref="E11:E13" si="11">E10+1</f>
        <v>10</v>
      </c>
      <c r="F11" s="30" t="s">
        <v>14</v>
      </c>
      <c r="G11" s="30" t="s">
        <v>18</v>
      </c>
      <c r="H11" s="30" t="s">
        <v>114</v>
      </c>
    </row>
    <row r="12" spans="2:8" ht="12.75" hidden="1" x14ac:dyDescent="0.2">
      <c r="B12" s="29">
        <f t="shared" ref="B12:D12" si="12">B11</f>
        <v>2003</v>
      </c>
      <c r="C12" s="29">
        <f t="shared" si="12"/>
        <v>0</v>
      </c>
      <c r="D12" s="29">
        <f t="shared" si="12"/>
        <v>0</v>
      </c>
      <c r="E12" s="29">
        <f t="shared" si="11"/>
        <v>11</v>
      </c>
      <c r="F12" s="30" t="s">
        <v>14</v>
      </c>
      <c r="G12" s="30" t="s">
        <v>18</v>
      </c>
      <c r="H12" s="30" t="s">
        <v>114</v>
      </c>
    </row>
    <row r="13" spans="2:8" ht="12.75" hidden="1" x14ac:dyDescent="0.2">
      <c r="B13" s="29">
        <f t="shared" ref="B13:D13" si="13">B12</f>
        <v>2003</v>
      </c>
      <c r="C13" s="29">
        <f t="shared" si="13"/>
        <v>0</v>
      </c>
      <c r="D13" s="29">
        <f t="shared" si="13"/>
        <v>0</v>
      </c>
      <c r="E13" s="29">
        <f t="shared" si="11"/>
        <v>12</v>
      </c>
      <c r="F13" s="30" t="s">
        <v>14</v>
      </c>
      <c r="G13" s="30" t="s">
        <v>18</v>
      </c>
      <c r="H13" s="30" t="s">
        <v>114</v>
      </c>
    </row>
    <row r="14" spans="2:8" ht="12.75" hidden="1" x14ac:dyDescent="0.2">
      <c r="B14" s="29">
        <f t="shared" ref="B14:D14" si="14">B13</f>
        <v>2003</v>
      </c>
      <c r="C14" s="29">
        <f t="shared" si="14"/>
        <v>0</v>
      </c>
      <c r="D14" s="29">
        <f t="shared" si="14"/>
        <v>0</v>
      </c>
      <c r="E14" s="29">
        <v>13</v>
      </c>
      <c r="F14" s="30" t="s">
        <v>126</v>
      </c>
      <c r="G14" s="30" t="s">
        <v>18</v>
      </c>
      <c r="H14" s="30" t="s">
        <v>114</v>
      </c>
    </row>
    <row r="15" spans="2:8" ht="12.75" hidden="1" x14ac:dyDescent="0.2">
      <c r="B15" s="29">
        <f t="shared" ref="B15:D15" si="15">B14</f>
        <v>2003</v>
      </c>
      <c r="C15" s="29">
        <f t="shared" si="15"/>
        <v>0</v>
      </c>
      <c r="D15" s="29">
        <f t="shared" si="15"/>
        <v>0</v>
      </c>
      <c r="E15" s="29">
        <f t="shared" ref="E15:E17" si="16">E14+1</f>
        <v>14</v>
      </c>
      <c r="F15" s="30" t="str">
        <f t="shared" ref="F15:F17" si="17">F14</f>
        <v>Salas de Aula</v>
      </c>
      <c r="G15" s="30" t="s">
        <v>18</v>
      </c>
      <c r="H15" s="30" t="s">
        <v>114</v>
      </c>
    </row>
    <row r="16" spans="2:8" ht="12.75" hidden="1" x14ac:dyDescent="0.2">
      <c r="B16" s="29">
        <f t="shared" ref="B16:D16" si="18">B15</f>
        <v>2003</v>
      </c>
      <c r="C16" s="29">
        <f t="shared" si="18"/>
        <v>0</v>
      </c>
      <c r="D16" s="29">
        <f t="shared" si="18"/>
        <v>0</v>
      </c>
      <c r="E16" s="29">
        <f t="shared" si="16"/>
        <v>15</v>
      </c>
      <c r="F16" s="30" t="str">
        <f t="shared" si="17"/>
        <v>Salas de Aula</v>
      </c>
      <c r="G16" s="30" t="s">
        <v>18</v>
      </c>
      <c r="H16" s="30" t="s">
        <v>114</v>
      </c>
    </row>
    <row r="17" spans="2:8" ht="12.75" hidden="1" x14ac:dyDescent="0.2">
      <c r="B17" s="29">
        <f t="shared" ref="B17:D17" si="19">B16</f>
        <v>2003</v>
      </c>
      <c r="C17" s="29">
        <f t="shared" si="19"/>
        <v>0</v>
      </c>
      <c r="D17" s="29">
        <f t="shared" si="19"/>
        <v>0</v>
      </c>
      <c r="E17" s="29">
        <f t="shared" si="16"/>
        <v>16</v>
      </c>
      <c r="F17" s="30" t="str">
        <f t="shared" si="17"/>
        <v>Salas de Aula</v>
      </c>
      <c r="G17" s="30" t="s">
        <v>18</v>
      </c>
      <c r="H17" s="30" t="s">
        <v>114</v>
      </c>
    </row>
    <row r="18" spans="2:8" ht="12.75" x14ac:dyDescent="0.2">
      <c r="B18" s="29">
        <v>2004</v>
      </c>
      <c r="C18" s="29">
        <f t="shared" ref="C18:C37" si="20">C17</f>
        <v>0</v>
      </c>
      <c r="D18" s="29">
        <v>0</v>
      </c>
      <c r="E18" s="29">
        <v>1</v>
      </c>
      <c r="F18" s="30" t="s">
        <v>17</v>
      </c>
      <c r="G18" s="30" t="s">
        <v>18</v>
      </c>
      <c r="H18" s="30" t="s">
        <v>114</v>
      </c>
    </row>
    <row r="19" spans="2:8" ht="12.75" x14ac:dyDescent="0.2">
      <c r="B19" s="29">
        <v>2004</v>
      </c>
      <c r="C19" s="29">
        <f t="shared" si="20"/>
        <v>0</v>
      </c>
      <c r="D19" s="29">
        <v>0</v>
      </c>
      <c r="E19" s="29">
        <f t="shared" ref="E19:E21" si="21">E18+1</f>
        <v>2</v>
      </c>
      <c r="F19" s="30" t="s">
        <v>17</v>
      </c>
      <c r="G19" s="30" t="s">
        <v>18</v>
      </c>
      <c r="H19" s="30" t="s">
        <v>114</v>
      </c>
    </row>
    <row r="20" spans="2:8" ht="12.75" x14ac:dyDescent="0.2">
      <c r="B20" s="29">
        <v>2004</v>
      </c>
      <c r="C20" s="29">
        <f t="shared" si="20"/>
        <v>0</v>
      </c>
      <c r="D20" s="29">
        <v>0</v>
      </c>
      <c r="E20" s="29">
        <f t="shared" si="21"/>
        <v>3</v>
      </c>
      <c r="F20" s="30" t="s">
        <v>17</v>
      </c>
      <c r="G20" s="30" t="s">
        <v>18</v>
      </c>
      <c r="H20" s="30" t="s">
        <v>114</v>
      </c>
    </row>
    <row r="21" spans="2:8" ht="12.75" x14ac:dyDescent="0.2">
      <c r="B21" s="29">
        <v>2004</v>
      </c>
      <c r="C21" s="29">
        <f t="shared" si="20"/>
        <v>0</v>
      </c>
      <c r="D21" s="29">
        <v>0</v>
      </c>
      <c r="E21" s="29">
        <f t="shared" si="21"/>
        <v>4</v>
      </c>
      <c r="F21" s="30" t="s">
        <v>17</v>
      </c>
      <c r="G21" s="30" t="s">
        <v>18</v>
      </c>
      <c r="H21" s="30" t="s">
        <v>114</v>
      </c>
    </row>
    <row r="22" spans="2:8" ht="12.75" x14ac:dyDescent="0.2">
      <c r="B22" s="29">
        <v>2004</v>
      </c>
      <c r="C22" s="29">
        <f t="shared" si="20"/>
        <v>0</v>
      </c>
      <c r="D22" s="29">
        <v>0</v>
      </c>
      <c r="E22" s="29">
        <v>5</v>
      </c>
      <c r="F22" s="30" t="s">
        <v>19</v>
      </c>
      <c r="G22" s="30" t="s">
        <v>15</v>
      </c>
      <c r="H22" s="30" t="s">
        <v>127</v>
      </c>
    </row>
    <row r="23" spans="2:8" ht="12.75" x14ac:dyDescent="0.2">
      <c r="B23" s="29">
        <v>2004</v>
      </c>
      <c r="C23" s="29">
        <f t="shared" si="20"/>
        <v>0</v>
      </c>
      <c r="D23" s="29">
        <v>0</v>
      </c>
      <c r="E23" s="29">
        <f t="shared" ref="E23:E24" si="22">E22+1</f>
        <v>6</v>
      </c>
      <c r="F23" s="30" t="s">
        <v>19</v>
      </c>
      <c r="G23" s="30" t="s">
        <v>15</v>
      </c>
      <c r="H23" s="30" t="s">
        <v>127</v>
      </c>
    </row>
    <row r="24" spans="2:8" ht="12.75" x14ac:dyDescent="0.2">
      <c r="B24" s="29">
        <v>2004</v>
      </c>
      <c r="C24" s="29">
        <f t="shared" si="20"/>
        <v>0</v>
      </c>
      <c r="D24" s="29">
        <v>0</v>
      </c>
      <c r="E24" s="29">
        <f t="shared" si="22"/>
        <v>7</v>
      </c>
      <c r="F24" s="30" t="s">
        <v>19</v>
      </c>
      <c r="G24" s="30" t="s">
        <v>15</v>
      </c>
      <c r="H24" s="30" t="s">
        <v>127</v>
      </c>
    </row>
    <row r="25" spans="2:8" ht="12.75" x14ac:dyDescent="0.2">
      <c r="B25" s="29">
        <v>2004</v>
      </c>
      <c r="C25" s="29">
        <f t="shared" si="20"/>
        <v>0</v>
      </c>
      <c r="D25" s="29">
        <v>0</v>
      </c>
      <c r="E25" s="29">
        <v>8</v>
      </c>
      <c r="F25" s="30" t="s">
        <v>20</v>
      </c>
      <c r="G25" s="30" t="s">
        <v>18</v>
      </c>
      <c r="H25" s="30" t="s">
        <v>111</v>
      </c>
    </row>
    <row r="26" spans="2:8" ht="12.75" x14ac:dyDescent="0.2">
      <c r="B26" s="29">
        <v>2004</v>
      </c>
      <c r="C26" s="29">
        <f t="shared" si="20"/>
        <v>0</v>
      </c>
      <c r="D26" s="29">
        <v>0</v>
      </c>
      <c r="E26" s="29">
        <f t="shared" ref="E26:E29" si="23">E25+1</f>
        <v>9</v>
      </c>
      <c r="F26" s="30" t="s">
        <v>20</v>
      </c>
      <c r="G26" s="30" t="s">
        <v>18</v>
      </c>
      <c r="H26" s="30" t="s">
        <v>111</v>
      </c>
    </row>
    <row r="27" spans="2:8" ht="12.75" x14ac:dyDescent="0.2">
      <c r="B27" s="29">
        <v>2004</v>
      </c>
      <c r="C27" s="29">
        <f t="shared" si="20"/>
        <v>0</v>
      </c>
      <c r="D27" s="29">
        <v>0</v>
      </c>
      <c r="E27" s="29">
        <f t="shared" si="23"/>
        <v>10</v>
      </c>
      <c r="F27" s="30" t="s">
        <v>20</v>
      </c>
      <c r="G27" s="30" t="s">
        <v>18</v>
      </c>
      <c r="H27" s="30" t="s">
        <v>111</v>
      </c>
    </row>
    <row r="28" spans="2:8" ht="12.75" x14ac:dyDescent="0.2">
      <c r="B28" s="29">
        <v>2004</v>
      </c>
      <c r="C28" s="29">
        <f t="shared" si="20"/>
        <v>0</v>
      </c>
      <c r="D28" s="29">
        <v>0</v>
      </c>
      <c r="E28" s="29">
        <f t="shared" si="23"/>
        <v>11</v>
      </c>
      <c r="F28" s="30" t="s">
        <v>20</v>
      </c>
      <c r="G28" s="30" t="s">
        <v>18</v>
      </c>
      <c r="H28" s="30" t="s">
        <v>111</v>
      </c>
    </row>
    <row r="29" spans="2:8" ht="12.75" x14ac:dyDescent="0.2">
      <c r="B29" s="29">
        <v>2004</v>
      </c>
      <c r="C29" s="29">
        <f t="shared" si="20"/>
        <v>0</v>
      </c>
      <c r="D29" s="29">
        <v>0</v>
      </c>
      <c r="E29" s="29">
        <f t="shared" si="23"/>
        <v>12</v>
      </c>
      <c r="F29" s="30" t="s">
        <v>20</v>
      </c>
      <c r="G29" s="30" t="s">
        <v>18</v>
      </c>
      <c r="H29" s="30" t="s">
        <v>111</v>
      </c>
    </row>
    <row r="30" spans="2:8" ht="12.75" x14ac:dyDescent="0.2">
      <c r="B30" s="29">
        <v>2004</v>
      </c>
      <c r="C30" s="29">
        <f t="shared" si="20"/>
        <v>0</v>
      </c>
      <c r="D30" s="29">
        <v>0</v>
      </c>
      <c r="E30" s="29">
        <v>13</v>
      </c>
      <c r="F30" s="30" t="s">
        <v>21</v>
      </c>
      <c r="G30" s="30" t="s">
        <v>18</v>
      </c>
      <c r="H30" s="30" t="s">
        <v>128</v>
      </c>
    </row>
    <row r="31" spans="2:8" ht="12.75" x14ac:dyDescent="0.2">
      <c r="B31" s="29">
        <v>2004</v>
      </c>
      <c r="C31" s="29">
        <f t="shared" si="20"/>
        <v>0</v>
      </c>
      <c r="D31" s="29">
        <v>0</v>
      </c>
      <c r="E31" s="29">
        <f>E30+1</f>
        <v>14</v>
      </c>
      <c r="F31" s="30" t="s">
        <v>21</v>
      </c>
      <c r="G31" s="30" t="s">
        <v>129</v>
      </c>
      <c r="H31" s="30"/>
    </row>
    <row r="32" spans="2:8" ht="12.75" x14ac:dyDescent="0.2">
      <c r="B32" s="29">
        <v>2004</v>
      </c>
      <c r="C32" s="29">
        <f t="shared" si="20"/>
        <v>0</v>
      </c>
      <c r="D32" s="29">
        <v>0</v>
      </c>
      <c r="E32" s="29">
        <v>15</v>
      </c>
      <c r="F32" s="30" t="s">
        <v>130</v>
      </c>
      <c r="G32" s="30" t="s">
        <v>11</v>
      </c>
      <c r="H32" s="30"/>
    </row>
    <row r="33" spans="2:8" ht="12.75" x14ac:dyDescent="0.2">
      <c r="B33" s="29">
        <v>2004</v>
      </c>
      <c r="C33" s="29">
        <f t="shared" si="20"/>
        <v>0</v>
      </c>
      <c r="D33" s="29">
        <v>0</v>
      </c>
      <c r="E33" s="29">
        <f t="shared" ref="E33:E34" si="24">E32+1</f>
        <v>16</v>
      </c>
      <c r="F33" s="30" t="s">
        <v>130</v>
      </c>
      <c r="G33" s="30" t="s">
        <v>11</v>
      </c>
      <c r="H33" s="30"/>
    </row>
    <row r="34" spans="2:8" ht="12.75" x14ac:dyDescent="0.2">
      <c r="B34" s="29">
        <v>2004</v>
      </c>
      <c r="C34" s="29">
        <f t="shared" si="20"/>
        <v>0</v>
      </c>
      <c r="D34" s="29">
        <v>0</v>
      </c>
      <c r="E34" s="29">
        <f t="shared" si="24"/>
        <v>17</v>
      </c>
      <c r="F34" s="30" t="s">
        <v>130</v>
      </c>
      <c r="G34" s="30" t="s">
        <v>11</v>
      </c>
      <c r="H34" s="30"/>
    </row>
    <row r="35" spans="2:8" ht="12.75" x14ac:dyDescent="0.2">
      <c r="B35" s="29">
        <v>2004</v>
      </c>
      <c r="C35" s="29">
        <f t="shared" si="20"/>
        <v>0</v>
      </c>
      <c r="D35" s="29">
        <v>0</v>
      </c>
      <c r="E35" s="29">
        <v>18</v>
      </c>
      <c r="F35" s="30" t="s">
        <v>131</v>
      </c>
      <c r="G35" s="30" t="s">
        <v>11</v>
      </c>
      <c r="H35" s="30"/>
    </row>
    <row r="36" spans="2:8" ht="12.75" x14ac:dyDescent="0.2">
      <c r="B36" s="29">
        <v>2004</v>
      </c>
      <c r="C36" s="29">
        <f t="shared" si="20"/>
        <v>0</v>
      </c>
      <c r="D36" s="29">
        <v>0</v>
      </c>
      <c r="E36" s="29">
        <f t="shared" ref="E36:E37" si="25">E35+1</f>
        <v>19</v>
      </c>
      <c r="F36" s="30" t="s">
        <v>131</v>
      </c>
      <c r="G36" s="30" t="s">
        <v>11</v>
      </c>
      <c r="H36" s="30"/>
    </row>
    <row r="37" spans="2:8" ht="12.75" x14ac:dyDescent="0.2">
      <c r="B37" s="29">
        <v>2004</v>
      </c>
      <c r="C37" s="29">
        <f t="shared" si="20"/>
        <v>0</v>
      </c>
      <c r="D37" s="29">
        <v>0</v>
      </c>
      <c r="E37" s="29">
        <f t="shared" si="25"/>
        <v>20</v>
      </c>
      <c r="F37" s="30" t="s">
        <v>131</v>
      </c>
      <c r="G37" s="30" t="s">
        <v>11</v>
      </c>
      <c r="H37" s="30"/>
    </row>
    <row r="38" spans="2:8" ht="12.75" hidden="1" x14ac:dyDescent="0.2">
      <c r="B38" s="29">
        <v>2005</v>
      </c>
      <c r="C38" s="29">
        <v>1</v>
      </c>
      <c r="D38" s="29">
        <v>0</v>
      </c>
      <c r="E38" s="29">
        <v>1</v>
      </c>
      <c r="F38" s="30" t="s">
        <v>132</v>
      </c>
      <c r="G38" s="30" t="s">
        <v>15</v>
      </c>
      <c r="H38" s="30" t="s">
        <v>133</v>
      </c>
    </row>
    <row r="39" spans="2:8" ht="12.75" hidden="1" x14ac:dyDescent="0.2">
      <c r="B39" s="29">
        <f t="shared" ref="B39:D39" si="26">B38</f>
        <v>2005</v>
      </c>
      <c r="C39" s="29">
        <f t="shared" si="26"/>
        <v>1</v>
      </c>
      <c r="D39" s="29">
        <f t="shared" si="26"/>
        <v>0</v>
      </c>
      <c r="E39" s="29">
        <f t="shared" ref="E39:E43" si="27">E38+1</f>
        <v>2</v>
      </c>
      <c r="F39" s="30" t="s">
        <v>132</v>
      </c>
      <c r="G39" s="30" t="s">
        <v>15</v>
      </c>
      <c r="H39" s="30" t="s">
        <v>133</v>
      </c>
    </row>
    <row r="40" spans="2:8" ht="12.75" hidden="1" x14ac:dyDescent="0.2">
      <c r="B40" s="29">
        <f t="shared" ref="B40:D40" si="28">B39</f>
        <v>2005</v>
      </c>
      <c r="C40" s="29">
        <f t="shared" si="28"/>
        <v>1</v>
      </c>
      <c r="D40" s="29">
        <f t="shared" si="28"/>
        <v>0</v>
      </c>
      <c r="E40" s="29">
        <f t="shared" si="27"/>
        <v>3</v>
      </c>
      <c r="F40" s="30" t="s">
        <v>132</v>
      </c>
      <c r="G40" s="30" t="s">
        <v>15</v>
      </c>
      <c r="H40" s="30" t="s">
        <v>133</v>
      </c>
    </row>
    <row r="41" spans="2:8" ht="12.75" hidden="1" x14ac:dyDescent="0.2">
      <c r="B41" s="29">
        <f t="shared" ref="B41:D41" si="29">B40</f>
        <v>2005</v>
      </c>
      <c r="C41" s="29">
        <f t="shared" si="29"/>
        <v>1</v>
      </c>
      <c r="D41" s="29">
        <f t="shared" si="29"/>
        <v>0</v>
      </c>
      <c r="E41" s="29">
        <f t="shared" si="27"/>
        <v>4</v>
      </c>
      <c r="F41" s="30" t="s">
        <v>132</v>
      </c>
      <c r="G41" s="30" t="s">
        <v>15</v>
      </c>
      <c r="H41" s="30" t="s">
        <v>133</v>
      </c>
    </row>
    <row r="42" spans="2:8" ht="12.75" hidden="1" x14ac:dyDescent="0.2">
      <c r="B42" s="29">
        <f t="shared" ref="B42:D42" si="30">B41</f>
        <v>2005</v>
      </c>
      <c r="C42" s="29">
        <f t="shared" si="30"/>
        <v>1</v>
      </c>
      <c r="D42" s="29">
        <f t="shared" si="30"/>
        <v>0</v>
      </c>
      <c r="E42" s="29">
        <f t="shared" si="27"/>
        <v>5</v>
      </c>
      <c r="F42" s="30" t="s">
        <v>132</v>
      </c>
      <c r="G42" s="30" t="s">
        <v>15</v>
      </c>
      <c r="H42" s="30" t="s">
        <v>133</v>
      </c>
    </row>
    <row r="43" spans="2:8" ht="12.75" hidden="1" x14ac:dyDescent="0.2">
      <c r="B43" s="29">
        <f t="shared" ref="B43:D43" si="31">B42</f>
        <v>2005</v>
      </c>
      <c r="C43" s="29">
        <f t="shared" si="31"/>
        <v>1</v>
      </c>
      <c r="D43" s="29">
        <f t="shared" si="31"/>
        <v>0</v>
      </c>
      <c r="E43" s="29">
        <f t="shared" si="27"/>
        <v>6</v>
      </c>
      <c r="F43" s="30" t="s">
        <v>132</v>
      </c>
      <c r="G43" s="30" t="s">
        <v>15</v>
      </c>
      <c r="H43" s="30" t="s">
        <v>133</v>
      </c>
    </row>
    <row r="44" spans="2:8" ht="12.75" hidden="1" x14ac:dyDescent="0.2">
      <c r="B44" s="29">
        <f t="shared" ref="B44:D44" si="32">B43</f>
        <v>2005</v>
      </c>
      <c r="C44" s="29">
        <f t="shared" si="32"/>
        <v>1</v>
      </c>
      <c r="D44" s="29">
        <f t="shared" si="32"/>
        <v>0</v>
      </c>
      <c r="E44" s="29">
        <v>7</v>
      </c>
      <c r="F44" s="30" t="s">
        <v>25</v>
      </c>
      <c r="G44" s="30" t="s">
        <v>18</v>
      </c>
      <c r="H44" s="30" t="s">
        <v>117</v>
      </c>
    </row>
    <row r="45" spans="2:8" ht="12.75" hidden="1" x14ac:dyDescent="0.2">
      <c r="B45" s="29">
        <f t="shared" ref="B45:D45" si="33">B44</f>
        <v>2005</v>
      </c>
      <c r="C45" s="29">
        <f t="shared" si="33"/>
        <v>1</v>
      </c>
      <c r="D45" s="29">
        <f t="shared" si="33"/>
        <v>0</v>
      </c>
      <c r="E45" s="29">
        <f t="shared" ref="E45:E49" si="34">E44+1</f>
        <v>8</v>
      </c>
      <c r="F45" s="30" t="s">
        <v>25</v>
      </c>
      <c r="G45" s="30" t="s">
        <v>18</v>
      </c>
      <c r="H45" s="30" t="s">
        <v>117</v>
      </c>
    </row>
    <row r="46" spans="2:8" ht="12.75" hidden="1" x14ac:dyDescent="0.2">
      <c r="B46" s="29">
        <f t="shared" ref="B46:D46" si="35">B45</f>
        <v>2005</v>
      </c>
      <c r="C46" s="29">
        <f t="shared" si="35"/>
        <v>1</v>
      </c>
      <c r="D46" s="29">
        <f t="shared" si="35"/>
        <v>0</v>
      </c>
      <c r="E46" s="29">
        <f t="shared" si="34"/>
        <v>9</v>
      </c>
      <c r="F46" s="30" t="s">
        <v>25</v>
      </c>
      <c r="G46" s="30" t="s">
        <v>18</v>
      </c>
      <c r="H46" s="30" t="s">
        <v>117</v>
      </c>
    </row>
    <row r="47" spans="2:8" ht="12.75" hidden="1" x14ac:dyDescent="0.2">
      <c r="B47" s="29">
        <f t="shared" ref="B47:D47" si="36">B46</f>
        <v>2005</v>
      </c>
      <c r="C47" s="29">
        <f t="shared" si="36"/>
        <v>1</v>
      </c>
      <c r="D47" s="29">
        <f t="shared" si="36"/>
        <v>0</v>
      </c>
      <c r="E47" s="29">
        <f t="shared" si="34"/>
        <v>10</v>
      </c>
      <c r="F47" s="30" t="s">
        <v>25</v>
      </c>
      <c r="G47" s="30" t="s">
        <v>18</v>
      </c>
      <c r="H47" s="30" t="s">
        <v>117</v>
      </c>
    </row>
    <row r="48" spans="2:8" ht="12.75" hidden="1" x14ac:dyDescent="0.2">
      <c r="B48" s="29">
        <f t="shared" ref="B48:D48" si="37">B47</f>
        <v>2005</v>
      </c>
      <c r="C48" s="29">
        <f t="shared" si="37"/>
        <v>1</v>
      </c>
      <c r="D48" s="29">
        <f t="shared" si="37"/>
        <v>0</v>
      </c>
      <c r="E48" s="29">
        <f t="shared" si="34"/>
        <v>11</v>
      </c>
      <c r="F48" s="30" t="s">
        <v>25</v>
      </c>
      <c r="G48" s="30" t="s">
        <v>18</v>
      </c>
      <c r="H48" s="30" t="s">
        <v>117</v>
      </c>
    </row>
    <row r="49" spans="2:8" ht="12.75" hidden="1" x14ac:dyDescent="0.2">
      <c r="B49" s="29">
        <f t="shared" ref="B49:D49" si="38">B48</f>
        <v>2005</v>
      </c>
      <c r="C49" s="29">
        <f t="shared" si="38"/>
        <v>1</v>
      </c>
      <c r="D49" s="29">
        <f t="shared" si="38"/>
        <v>0</v>
      </c>
      <c r="E49" s="29">
        <f t="shared" si="34"/>
        <v>12</v>
      </c>
      <c r="F49" s="30" t="s">
        <v>25</v>
      </c>
      <c r="G49" s="30" t="s">
        <v>18</v>
      </c>
      <c r="H49" s="30" t="s">
        <v>117</v>
      </c>
    </row>
    <row r="50" spans="2:8" ht="12.75" hidden="1" x14ac:dyDescent="0.2">
      <c r="B50" s="29">
        <f t="shared" ref="B50:D50" si="39">B49</f>
        <v>2005</v>
      </c>
      <c r="C50" s="29">
        <f t="shared" si="39"/>
        <v>1</v>
      </c>
      <c r="D50" s="29">
        <f t="shared" si="39"/>
        <v>0</v>
      </c>
      <c r="E50" s="29">
        <v>13</v>
      </c>
      <c r="F50" s="30" t="s">
        <v>134</v>
      </c>
      <c r="G50" s="30" t="s">
        <v>135</v>
      </c>
      <c r="H50" s="30"/>
    </row>
    <row r="51" spans="2:8" ht="12.75" hidden="1" x14ac:dyDescent="0.2">
      <c r="B51" s="29">
        <f t="shared" ref="B51:D51" si="40">B50</f>
        <v>2005</v>
      </c>
      <c r="C51" s="29">
        <f t="shared" si="40"/>
        <v>1</v>
      </c>
      <c r="D51" s="29">
        <f t="shared" si="40"/>
        <v>0</v>
      </c>
      <c r="E51" s="29">
        <f t="shared" ref="E51:E55" si="41">E50+1</f>
        <v>14</v>
      </c>
      <c r="F51" s="30" t="s">
        <v>134</v>
      </c>
      <c r="G51" s="30" t="s">
        <v>135</v>
      </c>
      <c r="H51" s="30"/>
    </row>
    <row r="52" spans="2:8" ht="12.75" hidden="1" x14ac:dyDescent="0.2">
      <c r="B52" s="29">
        <f t="shared" ref="B52:D52" si="42">B51</f>
        <v>2005</v>
      </c>
      <c r="C52" s="29">
        <f t="shared" si="42"/>
        <v>1</v>
      </c>
      <c r="D52" s="29">
        <f t="shared" si="42"/>
        <v>0</v>
      </c>
      <c r="E52" s="29">
        <f t="shared" si="41"/>
        <v>15</v>
      </c>
      <c r="F52" s="30" t="s">
        <v>134</v>
      </c>
      <c r="G52" s="30" t="s">
        <v>135</v>
      </c>
      <c r="H52" s="30"/>
    </row>
    <row r="53" spans="2:8" ht="12.75" hidden="1" x14ac:dyDescent="0.2">
      <c r="B53" s="29">
        <f t="shared" ref="B53:D53" si="43">B52</f>
        <v>2005</v>
      </c>
      <c r="C53" s="29">
        <f t="shared" si="43"/>
        <v>1</v>
      </c>
      <c r="D53" s="29">
        <f t="shared" si="43"/>
        <v>0</v>
      </c>
      <c r="E53" s="29">
        <f t="shared" si="41"/>
        <v>16</v>
      </c>
      <c r="F53" s="30" t="s">
        <v>134</v>
      </c>
      <c r="G53" s="30" t="s">
        <v>135</v>
      </c>
      <c r="H53" s="30"/>
    </row>
    <row r="54" spans="2:8" ht="12.75" hidden="1" x14ac:dyDescent="0.2">
      <c r="B54" s="29">
        <f t="shared" ref="B54:D54" si="44">B53</f>
        <v>2005</v>
      </c>
      <c r="C54" s="29">
        <f t="shared" si="44"/>
        <v>1</v>
      </c>
      <c r="D54" s="29">
        <f t="shared" si="44"/>
        <v>0</v>
      </c>
      <c r="E54" s="29">
        <f t="shared" si="41"/>
        <v>17</v>
      </c>
      <c r="F54" s="30" t="s">
        <v>134</v>
      </c>
      <c r="G54" s="30" t="s">
        <v>135</v>
      </c>
      <c r="H54" s="30"/>
    </row>
    <row r="55" spans="2:8" ht="12.75" hidden="1" x14ac:dyDescent="0.2">
      <c r="B55" s="29">
        <f t="shared" ref="B55:D55" si="45">B54</f>
        <v>2005</v>
      </c>
      <c r="C55" s="29">
        <f t="shared" si="45"/>
        <v>1</v>
      </c>
      <c r="D55" s="29">
        <f t="shared" si="45"/>
        <v>0</v>
      </c>
      <c r="E55" s="29">
        <f t="shared" si="41"/>
        <v>18</v>
      </c>
      <c r="F55" s="30" t="s">
        <v>134</v>
      </c>
      <c r="G55" s="30" t="s">
        <v>135</v>
      </c>
      <c r="H55" s="30"/>
    </row>
    <row r="56" spans="2:8" ht="12.75" hidden="1" x14ac:dyDescent="0.2">
      <c r="B56" s="29">
        <v>2005</v>
      </c>
      <c r="C56" s="29">
        <v>2</v>
      </c>
      <c r="D56" s="29">
        <v>0</v>
      </c>
      <c r="E56" s="29">
        <v>1</v>
      </c>
      <c r="F56" s="30" t="s">
        <v>132</v>
      </c>
      <c r="G56" s="30" t="s">
        <v>15</v>
      </c>
      <c r="H56" s="30" t="s">
        <v>133</v>
      </c>
    </row>
    <row r="57" spans="2:8" ht="12.75" hidden="1" x14ac:dyDescent="0.2">
      <c r="B57" s="29">
        <f t="shared" ref="B57:D57" si="46">B56</f>
        <v>2005</v>
      </c>
      <c r="C57" s="29">
        <f t="shared" si="46"/>
        <v>2</v>
      </c>
      <c r="D57" s="29">
        <f t="shared" si="46"/>
        <v>0</v>
      </c>
      <c r="E57" s="29">
        <f t="shared" ref="E57:E61" si="47">E56+1</f>
        <v>2</v>
      </c>
      <c r="F57" s="30" t="str">
        <f t="shared" ref="F57:F61" si="48">F56</f>
        <v>Projeto de software</v>
      </c>
      <c r="G57" s="30" t="s">
        <v>15</v>
      </c>
      <c r="H57" s="30" t="s">
        <v>133</v>
      </c>
    </row>
    <row r="58" spans="2:8" ht="12.75" hidden="1" x14ac:dyDescent="0.2">
      <c r="B58" s="29">
        <f t="shared" ref="B58:D58" si="49">B57</f>
        <v>2005</v>
      </c>
      <c r="C58" s="29">
        <f t="shared" si="49"/>
        <v>2</v>
      </c>
      <c r="D58" s="29">
        <f t="shared" si="49"/>
        <v>0</v>
      </c>
      <c r="E58" s="29">
        <f t="shared" si="47"/>
        <v>3</v>
      </c>
      <c r="F58" s="30" t="str">
        <f t="shared" si="48"/>
        <v>Projeto de software</v>
      </c>
      <c r="G58" s="30" t="s">
        <v>15</v>
      </c>
      <c r="H58" s="30" t="s">
        <v>133</v>
      </c>
    </row>
    <row r="59" spans="2:8" ht="12.75" hidden="1" x14ac:dyDescent="0.2">
      <c r="B59" s="29">
        <f t="shared" ref="B59:D59" si="50">B58</f>
        <v>2005</v>
      </c>
      <c r="C59" s="29">
        <f t="shared" si="50"/>
        <v>2</v>
      </c>
      <c r="D59" s="29">
        <f t="shared" si="50"/>
        <v>0</v>
      </c>
      <c r="E59" s="29">
        <f t="shared" si="47"/>
        <v>4</v>
      </c>
      <c r="F59" s="30" t="str">
        <f t="shared" si="48"/>
        <v>Projeto de software</v>
      </c>
      <c r="G59" s="30" t="s">
        <v>15</v>
      </c>
      <c r="H59" s="30" t="s">
        <v>133</v>
      </c>
    </row>
    <row r="60" spans="2:8" ht="12.75" hidden="1" x14ac:dyDescent="0.2">
      <c r="B60" s="29">
        <f t="shared" ref="B60:D60" si="51">B59</f>
        <v>2005</v>
      </c>
      <c r="C60" s="29">
        <f t="shared" si="51"/>
        <v>2</v>
      </c>
      <c r="D60" s="29">
        <f t="shared" si="51"/>
        <v>0</v>
      </c>
      <c r="E60" s="29">
        <f t="shared" si="47"/>
        <v>5</v>
      </c>
      <c r="F60" s="30" t="str">
        <f t="shared" si="48"/>
        <v>Projeto de software</v>
      </c>
      <c r="G60" s="30" t="s">
        <v>15</v>
      </c>
      <c r="H60" s="30" t="s">
        <v>133</v>
      </c>
    </row>
    <row r="61" spans="2:8" ht="12.75" hidden="1" x14ac:dyDescent="0.2">
      <c r="B61" s="29">
        <f t="shared" ref="B61:D61" si="52">B60</f>
        <v>2005</v>
      </c>
      <c r="C61" s="29">
        <f t="shared" si="52"/>
        <v>2</v>
      </c>
      <c r="D61" s="29">
        <f t="shared" si="52"/>
        <v>0</v>
      </c>
      <c r="E61" s="29">
        <f t="shared" si="47"/>
        <v>6</v>
      </c>
      <c r="F61" s="30" t="str">
        <f t="shared" si="48"/>
        <v>Projeto de software</v>
      </c>
      <c r="G61" s="30" t="s">
        <v>15</v>
      </c>
      <c r="H61" s="30" t="s">
        <v>133</v>
      </c>
    </row>
    <row r="62" spans="2:8" ht="12.75" hidden="1" x14ac:dyDescent="0.2">
      <c r="B62" s="29">
        <f t="shared" ref="B62:D62" si="53">B61</f>
        <v>2005</v>
      </c>
      <c r="C62" s="29">
        <f t="shared" si="53"/>
        <v>2</v>
      </c>
      <c r="D62" s="29">
        <f t="shared" si="53"/>
        <v>0</v>
      </c>
      <c r="E62" s="29">
        <v>7</v>
      </c>
      <c r="F62" s="30" t="s">
        <v>136</v>
      </c>
      <c r="G62" s="30" t="s">
        <v>18</v>
      </c>
      <c r="H62" s="30" t="s">
        <v>128</v>
      </c>
    </row>
    <row r="63" spans="2:8" ht="12.75" hidden="1" x14ac:dyDescent="0.2">
      <c r="B63" s="29">
        <f t="shared" ref="B63:D63" si="54">B62</f>
        <v>2005</v>
      </c>
      <c r="C63" s="29">
        <f t="shared" si="54"/>
        <v>2</v>
      </c>
      <c r="D63" s="29">
        <f t="shared" si="54"/>
        <v>0</v>
      </c>
      <c r="E63" s="29">
        <f t="shared" ref="E63:E67" si="55">E62+1</f>
        <v>8</v>
      </c>
      <c r="F63" s="30" t="str">
        <f t="shared" ref="F63:F67" si="56">F62</f>
        <v>Semana de provas</v>
      </c>
      <c r="G63" s="30" t="s">
        <v>18</v>
      </c>
      <c r="H63" s="30" t="s">
        <v>128</v>
      </c>
    </row>
    <row r="64" spans="2:8" ht="12.75" hidden="1" x14ac:dyDescent="0.2">
      <c r="B64" s="29">
        <f t="shared" ref="B64:D64" si="57">B63</f>
        <v>2005</v>
      </c>
      <c r="C64" s="29">
        <f t="shared" si="57"/>
        <v>2</v>
      </c>
      <c r="D64" s="29">
        <f t="shared" si="57"/>
        <v>0</v>
      </c>
      <c r="E64" s="29">
        <f t="shared" si="55"/>
        <v>9</v>
      </c>
      <c r="F64" s="30" t="str">
        <f t="shared" si="56"/>
        <v>Semana de provas</v>
      </c>
      <c r="G64" s="30" t="s">
        <v>18</v>
      </c>
      <c r="H64" s="30" t="s">
        <v>128</v>
      </c>
    </row>
    <row r="65" spans="2:8" ht="12.75" hidden="1" x14ac:dyDescent="0.2">
      <c r="B65" s="29">
        <f t="shared" ref="B65:D65" si="58">B64</f>
        <v>2005</v>
      </c>
      <c r="C65" s="29">
        <f t="shared" si="58"/>
        <v>2</v>
      </c>
      <c r="D65" s="29">
        <f t="shared" si="58"/>
        <v>0</v>
      </c>
      <c r="E65" s="29">
        <f t="shared" si="55"/>
        <v>10</v>
      </c>
      <c r="F65" s="30" t="str">
        <f t="shared" si="56"/>
        <v>Semana de provas</v>
      </c>
      <c r="G65" s="30" t="s">
        <v>18</v>
      </c>
      <c r="H65" s="30" t="s">
        <v>128</v>
      </c>
    </row>
    <row r="66" spans="2:8" ht="12.75" hidden="1" x14ac:dyDescent="0.2">
      <c r="B66" s="29">
        <f t="shared" ref="B66:D66" si="59">B65</f>
        <v>2005</v>
      </c>
      <c r="C66" s="29">
        <f t="shared" si="59"/>
        <v>2</v>
      </c>
      <c r="D66" s="29">
        <f t="shared" si="59"/>
        <v>0</v>
      </c>
      <c r="E66" s="29">
        <f t="shared" si="55"/>
        <v>11</v>
      </c>
      <c r="F66" s="30" t="str">
        <f t="shared" si="56"/>
        <v>Semana de provas</v>
      </c>
      <c r="G66" s="30" t="s">
        <v>18</v>
      </c>
      <c r="H66" s="30" t="s">
        <v>128</v>
      </c>
    </row>
    <row r="67" spans="2:8" ht="12.75" hidden="1" x14ac:dyDescent="0.2">
      <c r="B67" s="29">
        <f t="shared" ref="B67:D67" si="60">B66</f>
        <v>2005</v>
      </c>
      <c r="C67" s="29">
        <f t="shared" si="60"/>
        <v>2</v>
      </c>
      <c r="D67" s="29">
        <f t="shared" si="60"/>
        <v>0</v>
      </c>
      <c r="E67" s="29">
        <f t="shared" si="55"/>
        <v>12</v>
      </c>
      <c r="F67" s="30" t="str">
        <f t="shared" si="56"/>
        <v>Semana de provas</v>
      </c>
      <c r="G67" s="30" t="s">
        <v>18</v>
      </c>
      <c r="H67" s="30" t="s">
        <v>128</v>
      </c>
    </row>
    <row r="68" spans="2:8" ht="12.75" hidden="1" x14ac:dyDescent="0.2">
      <c r="B68" s="29">
        <f t="shared" ref="B68:D68" si="61">B67</f>
        <v>2005</v>
      </c>
      <c r="C68" s="29">
        <f t="shared" si="61"/>
        <v>2</v>
      </c>
      <c r="D68" s="29">
        <f t="shared" si="61"/>
        <v>0</v>
      </c>
      <c r="E68" s="29">
        <v>13</v>
      </c>
      <c r="F68" s="30" t="s">
        <v>137</v>
      </c>
      <c r="G68" s="30" t="s">
        <v>15</v>
      </c>
      <c r="H68" s="30" t="s">
        <v>133</v>
      </c>
    </row>
    <row r="69" spans="2:8" ht="12.75" hidden="1" x14ac:dyDescent="0.2">
      <c r="B69" s="29">
        <f t="shared" ref="B69:D69" si="62">B68</f>
        <v>2005</v>
      </c>
      <c r="C69" s="29">
        <f t="shared" si="62"/>
        <v>2</v>
      </c>
      <c r="D69" s="29">
        <f t="shared" si="62"/>
        <v>0</v>
      </c>
      <c r="E69" s="29">
        <f t="shared" ref="E69:E73" si="63">E68+1</f>
        <v>14</v>
      </c>
      <c r="F69" s="30" t="s">
        <v>137</v>
      </c>
      <c r="G69" s="30" t="s">
        <v>15</v>
      </c>
      <c r="H69" s="30" t="s">
        <v>133</v>
      </c>
    </row>
    <row r="70" spans="2:8" ht="12.75" hidden="1" x14ac:dyDescent="0.2">
      <c r="B70" s="29">
        <f t="shared" ref="B70:D70" si="64">B69</f>
        <v>2005</v>
      </c>
      <c r="C70" s="29">
        <f t="shared" si="64"/>
        <v>2</v>
      </c>
      <c r="D70" s="29">
        <f t="shared" si="64"/>
        <v>0</v>
      </c>
      <c r="E70" s="29">
        <f t="shared" si="63"/>
        <v>15</v>
      </c>
      <c r="F70" s="30" t="s">
        <v>137</v>
      </c>
      <c r="G70" s="30" t="s">
        <v>15</v>
      </c>
      <c r="H70" s="30" t="s">
        <v>133</v>
      </c>
    </row>
    <row r="71" spans="2:8" ht="12.75" hidden="1" x14ac:dyDescent="0.2">
      <c r="B71" s="29">
        <f t="shared" ref="B71:D71" si="65">B70</f>
        <v>2005</v>
      </c>
      <c r="C71" s="29">
        <f t="shared" si="65"/>
        <v>2</v>
      </c>
      <c r="D71" s="29">
        <f t="shared" si="65"/>
        <v>0</v>
      </c>
      <c r="E71" s="29">
        <f t="shared" si="63"/>
        <v>16</v>
      </c>
      <c r="F71" s="30" t="s">
        <v>137</v>
      </c>
      <c r="G71" s="30" t="s">
        <v>15</v>
      </c>
      <c r="H71" s="30" t="s">
        <v>133</v>
      </c>
    </row>
    <row r="72" spans="2:8" ht="12.75" hidden="1" x14ac:dyDescent="0.2">
      <c r="B72" s="29">
        <f t="shared" ref="B72:D72" si="66">B71</f>
        <v>2005</v>
      </c>
      <c r="C72" s="29">
        <f t="shared" si="66"/>
        <v>2</v>
      </c>
      <c r="D72" s="29">
        <f t="shared" si="66"/>
        <v>0</v>
      </c>
      <c r="E72" s="29">
        <f t="shared" si="63"/>
        <v>17</v>
      </c>
      <c r="F72" s="30" t="s">
        <v>137</v>
      </c>
      <c r="G72" s="30" t="s">
        <v>15</v>
      </c>
      <c r="H72" s="30" t="s">
        <v>133</v>
      </c>
    </row>
    <row r="73" spans="2:8" ht="12.75" hidden="1" x14ac:dyDescent="0.2">
      <c r="B73" s="29">
        <f t="shared" ref="B73:D73" si="67">B72</f>
        <v>2005</v>
      </c>
      <c r="C73" s="29">
        <f t="shared" si="67"/>
        <v>2</v>
      </c>
      <c r="D73" s="29">
        <f t="shared" si="67"/>
        <v>0</v>
      </c>
      <c r="E73" s="29">
        <f t="shared" si="63"/>
        <v>18</v>
      </c>
      <c r="F73" s="30" t="s">
        <v>137</v>
      </c>
      <c r="G73" s="30" t="s">
        <v>15</v>
      </c>
      <c r="H73" s="30" t="s">
        <v>133</v>
      </c>
    </row>
    <row r="74" spans="2:8" ht="12.75" hidden="1" x14ac:dyDescent="0.2">
      <c r="B74" s="29">
        <v>2006</v>
      </c>
      <c r="C74" s="29">
        <v>1</v>
      </c>
      <c r="D74" s="29">
        <v>1</v>
      </c>
      <c r="E74" s="29">
        <v>1</v>
      </c>
      <c r="F74" s="30" t="s">
        <v>30</v>
      </c>
      <c r="G74" s="30" t="s">
        <v>18</v>
      </c>
      <c r="H74" s="30" t="s">
        <v>114</v>
      </c>
    </row>
    <row r="75" spans="2:8" ht="12.75" hidden="1" x14ac:dyDescent="0.2">
      <c r="B75" s="29">
        <v>2006</v>
      </c>
      <c r="C75" s="29">
        <v>1</v>
      </c>
      <c r="D75" s="29">
        <v>1</v>
      </c>
      <c r="E75" s="29">
        <f t="shared" ref="E75:E79" si="68">E74+1</f>
        <v>2</v>
      </c>
      <c r="F75" s="30" t="s">
        <v>30</v>
      </c>
      <c r="G75" s="30" t="s">
        <v>18</v>
      </c>
      <c r="H75" s="30" t="s">
        <v>114</v>
      </c>
    </row>
    <row r="76" spans="2:8" ht="12.75" hidden="1" x14ac:dyDescent="0.2">
      <c r="B76" s="29">
        <v>2006</v>
      </c>
      <c r="C76" s="29">
        <v>1</v>
      </c>
      <c r="D76" s="29">
        <v>1</v>
      </c>
      <c r="E76" s="29">
        <f t="shared" si="68"/>
        <v>3</v>
      </c>
      <c r="F76" s="30" t="s">
        <v>30</v>
      </c>
      <c r="G76" s="30" t="s">
        <v>18</v>
      </c>
      <c r="H76" s="30" t="s">
        <v>114</v>
      </c>
    </row>
    <row r="77" spans="2:8" ht="12.75" hidden="1" x14ac:dyDescent="0.2">
      <c r="B77" s="29">
        <v>2006</v>
      </c>
      <c r="C77" s="29">
        <v>1</v>
      </c>
      <c r="D77" s="29">
        <v>1</v>
      </c>
      <c r="E77" s="29">
        <f t="shared" si="68"/>
        <v>4</v>
      </c>
      <c r="F77" s="30" t="s">
        <v>30</v>
      </c>
      <c r="G77" s="30" t="s">
        <v>18</v>
      </c>
      <c r="H77" s="30" t="s">
        <v>114</v>
      </c>
    </row>
    <row r="78" spans="2:8" ht="12.75" hidden="1" x14ac:dyDescent="0.2">
      <c r="B78" s="29">
        <v>2006</v>
      </c>
      <c r="C78" s="29">
        <v>1</v>
      </c>
      <c r="D78" s="29">
        <v>1</v>
      </c>
      <c r="E78" s="29">
        <f t="shared" si="68"/>
        <v>5</v>
      </c>
      <c r="F78" s="30" t="s">
        <v>30</v>
      </c>
      <c r="G78" s="30" t="s">
        <v>18</v>
      </c>
      <c r="H78" s="30" t="s">
        <v>114</v>
      </c>
    </row>
    <row r="79" spans="2:8" ht="12.75" hidden="1" x14ac:dyDescent="0.2">
      <c r="B79" s="29">
        <v>2006</v>
      </c>
      <c r="C79" s="29">
        <v>1</v>
      </c>
      <c r="D79" s="29">
        <v>1</v>
      </c>
      <c r="E79" s="29">
        <f t="shared" si="68"/>
        <v>6</v>
      </c>
      <c r="F79" s="30" t="s">
        <v>30</v>
      </c>
      <c r="G79" s="30" t="s">
        <v>18</v>
      </c>
      <c r="H79" s="30" t="s">
        <v>114</v>
      </c>
    </row>
    <row r="80" spans="2:8" ht="12.75" hidden="1" x14ac:dyDescent="0.2">
      <c r="B80" s="29">
        <v>2006</v>
      </c>
      <c r="C80" s="29">
        <v>1</v>
      </c>
      <c r="D80" s="29">
        <v>1</v>
      </c>
      <c r="E80" s="29">
        <v>7</v>
      </c>
      <c r="F80" s="30" t="s">
        <v>31</v>
      </c>
      <c r="G80" s="30" t="s">
        <v>11</v>
      </c>
      <c r="H80" s="30"/>
    </row>
    <row r="81" spans="2:8" ht="12.75" hidden="1" x14ac:dyDescent="0.2">
      <c r="B81" s="29">
        <v>2006</v>
      </c>
      <c r="C81" s="29">
        <v>1</v>
      </c>
      <c r="D81" s="29">
        <v>1</v>
      </c>
      <c r="E81" s="29">
        <f t="shared" ref="E81:E82" si="69">E80+1</f>
        <v>8</v>
      </c>
      <c r="F81" s="30" t="s">
        <v>31</v>
      </c>
      <c r="G81" s="30" t="s">
        <v>11</v>
      </c>
      <c r="H81" s="30"/>
    </row>
    <row r="82" spans="2:8" ht="12.75" hidden="1" x14ac:dyDescent="0.2">
      <c r="B82" s="29">
        <v>2006</v>
      </c>
      <c r="C82" s="29">
        <v>1</v>
      </c>
      <c r="D82" s="29">
        <v>1</v>
      </c>
      <c r="E82" s="29">
        <f t="shared" si="69"/>
        <v>9</v>
      </c>
      <c r="F82" s="30" t="s">
        <v>31</v>
      </c>
      <c r="G82" s="30" t="s">
        <v>11</v>
      </c>
      <c r="H82" s="30"/>
    </row>
    <row r="83" spans="2:8" ht="12.75" hidden="1" x14ac:dyDescent="0.2">
      <c r="B83" s="29">
        <v>2006</v>
      </c>
      <c r="C83" s="29">
        <v>1</v>
      </c>
      <c r="D83" s="29">
        <v>1</v>
      </c>
      <c r="E83" s="29">
        <v>20</v>
      </c>
      <c r="F83" s="30" t="s">
        <v>138</v>
      </c>
      <c r="G83" s="30" t="s">
        <v>18</v>
      </c>
      <c r="H83" s="30" t="s">
        <v>128</v>
      </c>
    </row>
    <row r="84" spans="2:8" ht="12.75" hidden="1" x14ac:dyDescent="0.2">
      <c r="B84" s="29">
        <v>2006</v>
      </c>
      <c r="C84" s="29">
        <v>1</v>
      </c>
      <c r="D84" s="29">
        <v>1</v>
      </c>
      <c r="E84" s="29">
        <f t="shared" ref="E84:E86" si="70">E83+1</f>
        <v>21</v>
      </c>
      <c r="F84" s="30" t="s">
        <v>138</v>
      </c>
      <c r="G84" s="30" t="s">
        <v>18</v>
      </c>
      <c r="H84" s="30" t="s">
        <v>128</v>
      </c>
    </row>
    <row r="85" spans="2:8" ht="12.75" hidden="1" x14ac:dyDescent="0.2">
      <c r="B85" s="29">
        <v>2006</v>
      </c>
      <c r="C85" s="29">
        <v>1</v>
      </c>
      <c r="D85" s="29">
        <v>1</v>
      </c>
      <c r="E85" s="29">
        <f t="shared" si="70"/>
        <v>22</v>
      </c>
      <c r="F85" s="30" t="s">
        <v>138</v>
      </c>
      <c r="G85" s="30" t="s">
        <v>18</v>
      </c>
      <c r="H85" s="30" t="s">
        <v>128</v>
      </c>
    </row>
    <row r="86" spans="2:8" ht="12.75" hidden="1" x14ac:dyDescent="0.2">
      <c r="B86" s="29">
        <v>2006</v>
      </c>
      <c r="C86" s="29">
        <v>1</v>
      </c>
      <c r="D86" s="29">
        <v>1</v>
      </c>
      <c r="E86" s="29">
        <f t="shared" si="70"/>
        <v>23</v>
      </c>
      <c r="F86" s="30" t="s">
        <v>138</v>
      </c>
      <c r="G86" s="30" t="s">
        <v>18</v>
      </c>
      <c r="H86" s="30" t="s">
        <v>128</v>
      </c>
    </row>
    <row r="87" spans="2:8" ht="12.75" hidden="1" x14ac:dyDescent="0.2">
      <c r="B87" s="29">
        <v>2006</v>
      </c>
      <c r="C87" s="29">
        <v>1</v>
      </c>
      <c r="D87" s="29">
        <v>1</v>
      </c>
      <c r="E87" s="29">
        <v>24</v>
      </c>
      <c r="F87" s="30" t="s">
        <v>33</v>
      </c>
      <c r="G87" s="30" t="s">
        <v>18</v>
      </c>
      <c r="H87" s="30" t="s">
        <v>117</v>
      </c>
    </row>
    <row r="88" spans="2:8" ht="12.75" hidden="1" x14ac:dyDescent="0.2">
      <c r="B88" s="29">
        <v>2006</v>
      </c>
      <c r="C88" s="29">
        <v>1</v>
      </c>
      <c r="D88" s="29">
        <v>1</v>
      </c>
      <c r="E88" s="29">
        <f t="shared" ref="E88:E89" si="71">E87+1</f>
        <v>25</v>
      </c>
      <c r="F88" s="30" t="s">
        <v>33</v>
      </c>
      <c r="G88" s="30" t="s">
        <v>18</v>
      </c>
      <c r="H88" s="30" t="s">
        <v>117</v>
      </c>
    </row>
    <row r="89" spans="2:8" ht="12.75" hidden="1" x14ac:dyDescent="0.2">
      <c r="B89" s="29">
        <v>2006</v>
      </c>
      <c r="C89" s="29">
        <v>1</v>
      </c>
      <c r="D89" s="29">
        <v>1</v>
      </c>
      <c r="E89" s="29">
        <f t="shared" si="71"/>
        <v>26</v>
      </c>
      <c r="F89" s="30" t="s">
        <v>33</v>
      </c>
      <c r="G89" s="30" t="s">
        <v>18</v>
      </c>
      <c r="H89" s="30" t="s">
        <v>117</v>
      </c>
    </row>
    <row r="90" spans="2:8" ht="12.75" hidden="1" x14ac:dyDescent="0.2">
      <c r="B90" s="29">
        <v>2006</v>
      </c>
      <c r="C90" s="29">
        <v>2</v>
      </c>
      <c r="D90" s="29">
        <v>1</v>
      </c>
      <c r="E90" s="29">
        <v>1</v>
      </c>
      <c r="F90" s="30" t="s">
        <v>139</v>
      </c>
      <c r="G90" s="30" t="s">
        <v>18</v>
      </c>
      <c r="H90" s="30" t="s">
        <v>114</v>
      </c>
    </row>
    <row r="91" spans="2:8" ht="12.75" hidden="1" x14ac:dyDescent="0.2">
      <c r="B91" s="29">
        <v>2006</v>
      </c>
      <c r="C91" s="29">
        <v>2</v>
      </c>
      <c r="D91" s="29">
        <v>1</v>
      </c>
      <c r="E91" s="29">
        <f t="shared" ref="E91:E94" si="72">E90+1</f>
        <v>2</v>
      </c>
      <c r="F91" s="30" t="s">
        <v>139</v>
      </c>
      <c r="G91" s="30" t="s">
        <v>18</v>
      </c>
      <c r="H91" s="30" t="s">
        <v>114</v>
      </c>
    </row>
    <row r="92" spans="2:8" ht="12.75" hidden="1" x14ac:dyDescent="0.2">
      <c r="B92" s="29">
        <v>2006</v>
      </c>
      <c r="C92" s="29">
        <v>2</v>
      </c>
      <c r="D92" s="29">
        <v>1</v>
      </c>
      <c r="E92" s="29">
        <f t="shared" si="72"/>
        <v>3</v>
      </c>
      <c r="F92" s="30" t="s">
        <v>139</v>
      </c>
      <c r="G92" s="30" t="s">
        <v>18</v>
      </c>
      <c r="H92" s="30" t="s">
        <v>114</v>
      </c>
    </row>
    <row r="93" spans="2:8" ht="12.75" hidden="1" x14ac:dyDescent="0.2">
      <c r="B93" s="29">
        <v>2006</v>
      </c>
      <c r="C93" s="29">
        <v>2</v>
      </c>
      <c r="D93" s="29">
        <v>1</v>
      </c>
      <c r="E93" s="29">
        <f t="shared" si="72"/>
        <v>4</v>
      </c>
      <c r="F93" s="30" t="s">
        <v>139</v>
      </c>
      <c r="G93" s="30" t="s">
        <v>18</v>
      </c>
      <c r="H93" s="30" t="s">
        <v>114</v>
      </c>
    </row>
    <row r="94" spans="2:8" ht="12.75" hidden="1" x14ac:dyDescent="0.2">
      <c r="B94" s="29">
        <v>2006</v>
      </c>
      <c r="C94" s="29">
        <v>2</v>
      </c>
      <c r="D94" s="29">
        <v>1</v>
      </c>
      <c r="E94" s="29">
        <f t="shared" si="72"/>
        <v>5</v>
      </c>
      <c r="F94" s="30" t="s">
        <v>139</v>
      </c>
      <c r="G94" s="30" t="s">
        <v>18</v>
      </c>
      <c r="H94" s="30" t="s">
        <v>114</v>
      </c>
    </row>
    <row r="95" spans="2:8" ht="12.75" hidden="1" x14ac:dyDescent="0.2">
      <c r="B95" s="29">
        <v>2006</v>
      </c>
      <c r="C95" s="29">
        <v>2</v>
      </c>
      <c r="D95" s="29">
        <v>1</v>
      </c>
      <c r="E95" s="29">
        <v>6</v>
      </c>
      <c r="F95" s="30" t="s">
        <v>140</v>
      </c>
      <c r="G95" s="30" t="s">
        <v>18</v>
      </c>
      <c r="H95" s="30" t="s">
        <v>141</v>
      </c>
    </row>
    <row r="96" spans="2:8" ht="12.75" hidden="1" x14ac:dyDescent="0.2">
      <c r="B96" s="29">
        <v>2006</v>
      </c>
      <c r="C96" s="29">
        <v>2</v>
      </c>
      <c r="D96" s="29">
        <v>1</v>
      </c>
      <c r="E96" s="29">
        <f t="shared" ref="E96:E98" si="73">E95+1</f>
        <v>7</v>
      </c>
      <c r="F96" s="30" t="s">
        <v>140</v>
      </c>
      <c r="G96" s="30" t="s">
        <v>18</v>
      </c>
      <c r="H96" s="30" t="s">
        <v>141</v>
      </c>
    </row>
    <row r="97" spans="2:8" ht="12.75" hidden="1" x14ac:dyDescent="0.2">
      <c r="B97" s="29">
        <v>2006</v>
      </c>
      <c r="C97" s="29">
        <v>2</v>
      </c>
      <c r="D97" s="29">
        <v>1</v>
      </c>
      <c r="E97" s="29">
        <f t="shared" si="73"/>
        <v>8</v>
      </c>
      <c r="F97" s="30" t="s">
        <v>140</v>
      </c>
      <c r="G97" s="30" t="s">
        <v>18</v>
      </c>
      <c r="H97" s="30" t="s">
        <v>141</v>
      </c>
    </row>
    <row r="98" spans="2:8" ht="12.75" hidden="1" x14ac:dyDescent="0.2">
      <c r="B98" s="29">
        <v>2006</v>
      </c>
      <c r="C98" s="29">
        <v>2</v>
      </c>
      <c r="D98" s="29">
        <v>1</v>
      </c>
      <c r="E98" s="29">
        <f t="shared" si="73"/>
        <v>9</v>
      </c>
      <c r="F98" s="30" t="s">
        <v>140</v>
      </c>
      <c r="G98" s="30" t="s">
        <v>18</v>
      </c>
      <c r="H98" s="30" t="s">
        <v>141</v>
      </c>
    </row>
    <row r="99" spans="2:8" ht="12.75" hidden="1" x14ac:dyDescent="0.2">
      <c r="B99" s="29">
        <v>2006</v>
      </c>
      <c r="C99" s="29">
        <v>2</v>
      </c>
      <c r="D99" s="29">
        <v>1</v>
      </c>
      <c r="E99" s="29">
        <v>10</v>
      </c>
      <c r="F99" s="30" t="s">
        <v>36</v>
      </c>
      <c r="G99" s="30" t="s">
        <v>18</v>
      </c>
      <c r="H99" s="30" t="s">
        <v>128</v>
      </c>
    </row>
    <row r="100" spans="2:8" ht="12.75" hidden="1" x14ac:dyDescent="0.2">
      <c r="B100" s="29">
        <v>2006</v>
      </c>
      <c r="C100" s="29">
        <v>2</v>
      </c>
      <c r="D100" s="29">
        <v>1</v>
      </c>
      <c r="E100" s="29">
        <f t="shared" ref="E100:E103" si="74">E99+1</f>
        <v>11</v>
      </c>
      <c r="F100" s="30" t="s">
        <v>36</v>
      </c>
      <c r="G100" s="30" t="s">
        <v>18</v>
      </c>
      <c r="H100" s="30" t="s">
        <v>128</v>
      </c>
    </row>
    <row r="101" spans="2:8" ht="12.75" hidden="1" x14ac:dyDescent="0.2">
      <c r="B101" s="29">
        <v>2006</v>
      </c>
      <c r="C101" s="29">
        <v>2</v>
      </c>
      <c r="D101" s="29">
        <v>1</v>
      </c>
      <c r="E101" s="29">
        <f t="shared" si="74"/>
        <v>12</v>
      </c>
      <c r="F101" s="30" t="s">
        <v>36</v>
      </c>
      <c r="G101" s="30" t="s">
        <v>18</v>
      </c>
      <c r="H101" s="30" t="s">
        <v>128</v>
      </c>
    </row>
    <row r="102" spans="2:8" ht="12.75" hidden="1" x14ac:dyDescent="0.2">
      <c r="B102" s="29">
        <v>2006</v>
      </c>
      <c r="C102" s="29">
        <v>2</v>
      </c>
      <c r="D102" s="29">
        <v>1</v>
      </c>
      <c r="E102" s="29">
        <f t="shared" si="74"/>
        <v>13</v>
      </c>
      <c r="F102" s="30" t="s">
        <v>36</v>
      </c>
      <c r="G102" s="30" t="s">
        <v>18</v>
      </c>
      <c r="H102" s="30" t="s">
        <v>128</v>
      </c>
    </row>
    <row r="103" spans="2:8" ht="12.75" hidden="1" x14ac:dyDescent="0.2">
      <c r="B103" s="29">
        <v>2006</v>
      </c>
      <c r="C103" s="29">
        <v>2</v>
      </c>
      <c r="D103" s="29">
        <v>1</v>
      </c>
      <c r="E103" s="29">
        <f t="shared" si="74"/>
        <v>14</v>
      </c>
      <c r="F103" s="30" t="s">
        <v>36</v>
      </c>
      <c r="G103" s="30" t="s">
        <v>18</v>
      </c>
      <c r="H103" s="30" t="s">
        <v>128</v>
      </c>
    </row>
    <row r="104" spans="2:8" ht="12.75" hidden="1" x14ac:dyDescent="0.2">
      <c r="B104" s="29">
        <v>2006</v>
      </c>
      <c r="C104" s="29">
        <v>2</v>
      </c>
      <c r="D104" s="29">
        <v>1</v>
      </c>
      <c r="E104" s="29">
        <v>15</v>
      </c>
      <c r="F104" s="30" t="s">
        <v>31</v>
      </c>
      <c r="G104" s="30" t="s">
        <v>11</v>
      </c>
      <c r="H104" s="30"/>
    </row>
    <row r="105" spans="2:8" ht="12.75" hidden="1" x14ac:dyDescent="0.2">
      <c r="B105" s="29">
        <v>2006</v>
      </c>
      <c r="C105" s="29">
        <v>2</v>
      </c>
      <c r="D105" s="29">
        <v>1</v>
      </c>
      <c r="E105" s="29">
        <f t="shared" ref="E105:E106" si="75">E104+1</f>
        <v>16</v>
      </c>
      <c r="F105" s="30" t="s">
        <v>31</v>
      </c>
      <c r="G105" s="30" t="s">
        <v>11</v>
      </c>
      <c r="H105" s="30"/>
    </row>
    <row r="106" spans="2:8" ht="12.75" hidden="1" x14ac:dyDescent="0.2">
      <c r="B106" s="29">
        <v>2006</v>
      </c>
      <c r="C106" s="29">
        <v>2</v>
      </c>
      <c r="D106" s="29">
        <v>1</v>
      </c>
      <c r="E106" s="29">
        <f t="shared" si="75"/>
        <v>17</v>
      </c>
      <c r="F106" s="30" t="s">
        <v>31</v>
      </c>
      <c r="G106" s="30" t="s">
        <v>11</v>
      </c>
      <c r="H106" s="30"/>
    </row>
    <row r="107" spans="2:8" ht="12.75" hidden="1" x14ac:dyDescent="0.2">
      <c r="B107" s="29">
        <v>2006</v>
      </c>
      <c r="C107" s="29">
        <v>2</v>
      </c>
      <c r="D107" s="29">
        <v>1</v>
      </c>
      <c r="E107" s="29">
        <v>18</v>
      </c>
      <c r="F107" s="30" t="s">
        <v>33</v>
      </c>
      <c r="G107" s="30" t="s">
        <v>18</v>
      </c>
      <c r="H107" s="30" t="s">
        <v>117</v>
      </c>
    </row>
    <row r="108" spans="2:8" ht="12.75" hidden="1" x14ac:dyDescent="0.2">
      <c r="B108" s="29">
        <v>2006</v>
      </c>
      <c r="C108" s="29">
        <v>2</v>
      </c>
      <c r="D108" s="29">
        <v>1</v>
      </c>
      <c r="E108" s="29">
        <f t="shared" ref="E108:E110" si="76">E107+1</f>
        <v>19</v>
      </c>
      <c r="F108" s="30" t="s">
        <v>33</v>
      </c>
      <c r="G108" s="30" t="s">
        <v>18</v>
      </c>
      <c r="H108" s="30" t="s">
        <v>117</v>
      </c>
    </row>
    <row r="109" spans="2:8" ht="12.75" hidden="1" x14ac:dyDescent="0.2">
      <c r="B109" s="29">
        <v>2006</v>
      </c>
      <c r="C109" s="29">
        <v>2</v>
      </c>
      <c r="D109" s="29">
        <v>1</v>
      </c>
      <c r="E109" s="29">
        <f t="shared" si="76"/>
        <v>20</v>
      </c>
      <c r="F109" s="30" t="s">
        <v>33</v>
      </c>
      <c r="G109" s="30" t="s">
        <v>18</v>
      </c>
      <c r="H109" s="30" t="s">
        <v>117</v>
      </c>
    </row>
    <row r="110" spans="2:8" ht="12.75" hidden="1" x14ac:dyDescent="0.2">
      <c r="B110" s="29">
        <v>2006</v>
      </c>
      <c r="C110" s="29">
        <v>2</v>
      </c>
      <c r="D110" s="29">
        <v>1</v>
      </c>
      <c r="E110" s="29">
        <f t="shared" si="76"/>
        <v>21</v>
      </c>
      <c r="F110" s="30" t="s">
        <v>33</v>
      </c>
      <c r="G110" s="30" t="s">
        <v>18</v>
      </c>
      <c r="H110" s="30" t="s">
        <v>117</v>
      </c>
    </row>
    <row r="111" spans="2:8" ht="12.75" hidden="1" x14ac:dyDescent="0.2">
      <c r="B111" s="29">
        <v>2006</v>
      </c>
      <c r="C111" s="29">
        <v>2</v>
      </c>
      <c r="D111" s="29">
        <v>1</v>
      </c>
      <c r="E111" s="29">
        <v>22</v>
      </c>
      <c r="F111" s="30" t="s">
        <v>142</v>
      </c>
      <c r="G111" s="30" t="s">
        <v>129</v>
      </c>
      <c r="H111" s="30"/>
    </row>
    <row r="112" spans="2:8" ht="12.75" hidden="1" x14ac:dyDescent="0.2">
      <c r="B112" s="29">
        <v>2006</v>
      </c>
      <c r="C112" s="29">
        <v>1</v>
      </c>
      <c r="D112" s="29">
        <v>2</v>
      </c>
      <c r="E112" s="29">
        <v>1</v>
      </c>
      <c r="F112" s="30" t="s">
        <v>143</v>
      </c>
      <c r="G112" s="30" t="s">
        <v>15</v>
      </c>
      <c r="H112" s="30" t="s">
        <v>144</v>
      </c>
    </row>
    <row r="113" spans="2:8" ht="12.75" hidden="1" x14ac:dyDescent="0.2">
      <c r="B113" s="29">
        <v>2006</v>
      </c>
      <c r="C113" s="29">
        <v>1</v>
      </c>
      <c r="D113" s="29">
        <v>2</v>
      </c>
      <c r="E113" s="29">
        <f t="shared" ref="E113:E118" si="77">E112+1</f>
        <v>2</v>
      </c>
      <c r="F113" s="30" t="s">
        <v>143</v>
      </c>
      <c r="G113" s="30" t="s">
        <v>15</v>
      </c>
      <c r="H113" s="30" t="s">
        <v>144</v>
      </c>
    </row>
    <row r="114" spans="2:8" ht="12.75" hidden="1" x14ac:dyDescent="0.2">
      <c r="B114" s="29">
        <v>2006</v>
      </c>
      <c r="C114" s="29">
        <v>1</v>
      </c>
      <c r="D114" s="29">
        <v>2</v>
      </c>
      <c r="E114" s="29">
        <f t="shared" si="77"/>
        <v>3</v>
      </c>
      <c r="F114" s="30" t="s">
        <v>143</v>
      </c>
      <c r="G114" s="30" t="s">
        <v>15</v>
      </c>
      <c r="H114" s="30" t="s">
        <v>144</v>
      </c>
    </row>
    <row r="115" spans="2:8" ht="12.75" hidden="1" x14ac:dyDescent="0.2">
      <c r="B115" s="29">
        <v>2006</v>
      </c>
      <c r="C115" s="29">
        <v>1</v>
      </c>
      <c r="D115" s="29">
        <v>2</v>
      </c>
      <c r="E115" s="29">
        <f t="shared" si="77"/>
        <v>4</v>
      </c>
      <c r="F115" s="30" t="s">
        <v>143</v>
      </c>
      <c r="G115" s="30" t="s">
        <v>15</v>
      </c>
      <c r="H115" s="30" t="s">
        <v>144</v>
      </c>
    </row>
    <row r="116" spans="2:8" ht="12.75" hidden="1" x14ac:dyDescent="0.2">
      <c r="B116" s="29">
        <v>2006</v>
      </c>
      <c r="C116" s="29">
        <v>1</v>
      </c>
      <c r="D116" s="29">
        <v>2</v>
      </c>
      <c r="E116" s="29">
        <f t="shared" si="77"/>
        <v>5</v>
      </c>
      <c r="F116" s="30" t="s">
        <v>143</v>
      </c>
      <c r="G116" s="30" t="s">
        <v>15</v>
      </c>
      <c r="H116" s="30" t="s">
        <v>144</v>
      </c>
    </row>
    <row r="117" spans="2:8" ht="12.75" hidden="1" x14ac:dyDescent="0.2">
      <c r="B117" s="29">
        <v>2006</v>
      </c>
      <c r="C117" s="29">
        <v>1</v>
      </c>
      <c r="D117" s="29">
        <v>2</v>
      </c>
      <c r="E117" s="29">
        <f t="shared" si="77"/>
        <v>6</v>
      </c>
      <c r="F117" s="30" t="s">
        <v>143</v>
      </c>
      <c r="G117" s="30" t="s">
        <v>15</v>
      </c>
      <c r="H117" s="30" t="s">
        <v>144</v>
      </c>
    </row>
    <row r="118" spans="2:8" ht="12.75" hidden="1" x14ac:dyDescent="0.2">
      <c r="B118" s="29">
        <v>2006</v>
      </c>
      <c r="C118" s="29">
        <v>1</v>
      </c>
      <c r="D118" s="29">
        <v>2</v>
      </c>
      <c r="E118" s="29">
        <f t="shared" si="77"/>
        <v>7</v>
      </c>
      <c r="F118" s="30" t="s">
        <v>143</v>
      </c>
      <c r="G118" s="30" t="s">
        <v>15</v>
      </c>
      <c r="H118" s="30" t="s">
        <v>144</v>
      </c>
    </row>
    <row r="119" spans="2:8" ht="12.75" hidden="1" x14ac:dyDescent="0.2">
      <c r="B119" s="29">
        <v>2006</v>
      </c>
      <c r="C119" s="29">
        <v>1</v>
      </c>
      <c r="D119" s="29">
        <v>2</v>
      </c>
      <c r="E119" s="29">
        <v>8</v>
      </c>
      <c r="F119" s="30" t="s">
        <v>145</v>
      </c>
      <c r="G119" s="30" t="s">
        <v>18</v>
      </c>
      <c r="H119" s="30" t="s">
        <v>128</v>
      </c>
    </row>
    <row r="120" spans="2:8" ht="12.75" hidden="1" x14ac:dyDescent="0.2">
      <c r="B120" s="29">
        <v>2006</v>
      </c>
      <c r="C120" s="29">
        <v>1</v>
      </c>
      <c r="D120" s="29">
        <v>2</v>
      </c>
      <c r="E120" s="29">
        <f t="shared" ref="E120:E124" si="78">E119+1</f>
        <v>9</v>
      </c>
      <c r="F120" s="30" t="s">
        <v>145</v>
      </c>
      <c r="G120" s="30" t="s">
        <v>18</v>
      </c>
      <c r="H120" s="30" t="s">
        <v>128</v>
      </c>
    </row>
    <row r="121" spans="2:8" ht="12.75" hidden="1" x14ac:dyDescent="0.2">
      <c r="B121" s="29">
        <v>2006</v>
      </c>
      <c r="C121" s="29">
        <v>1</v>
      </c>
      <c r="D121" s="29">
        <v>2</v>
      </c>
      <c r="E121" s="29">
        <f t="shared" si="78"/>
        <v>10</v>
      </c>
      <c r="F121" s="30" t="s">
        <v>145</v>
      </c>
      <c r="G121" s="30" t="s">
        <v>18</v>
      </c>
      <c r="H121" s="30" t="s">
        <v>128</v>
      </c>
    </row>
    <row r="122" spans="2:8" ht="12.75" hidden="1" x14ac:dyDescent="0.2">
      <c r="B122" s="29">
        <v>2006</v>
      </c>
      <c r="C122" s="29">
        <v>1</v>
      </c>
      <c r="D122" s="29">
        <v>2</v>
      </c>
      <c r="E122" s="29">
        <f t="shared" si="78"/>
        <v>11</v>
      </c>
      <c r="F122" s="30" t="s">
        <v>145</v>
      </c>
      <c r="G122" s="30" t="s">
        <v>18</v>
      </c>
      <c r="H122" s="30" t="s">
        <v>128</v>
      </c>
    </row>
    <row r="123" spans="2:8" ht="12.75" hidden="1" x14ac:dyDescent="0.2">
      <c r="B123" s="29">
        <v>2006</v>
      </c>
      <c r="C123" s="29">
        <v>1</v>
      </c>
      <c r="D123" s="29">
        <v>2</v>
      </c>
      <c r="E123" s="29">
        <f t="shared" si="78"/>
        <v>12</v>
      </c>
      <c r="F123" s="30" t="s">
        <v>145</v>
      </c>
      <c r="G123" s="30" t="s">
        <v>18</v>
      </c>
      <c r="H123" s="30" t="s">
        <v>128</v>
      </c>
    </row>
    <row r="124" spans="2:8" ht="12.75" hidden="1" x14ac:dyDescent="0.2">
      <c r="B124" s="29">
        <v>2006</v>
      </c>
      <c r="C124" s="29">
        <v>1</v>
      </c>
      <c r="D124" s="29">
        <v>2</v>
      </c>
      <c r="E124" s="29">
        <f t="shared" si="78"/>
        <v>13</v>
      </c>
      <c r="F124" s="30" t="s">
        <v>145</v>
      </c>
      <c r="G124" s="30" t="s">
        <v>18</v>
      </c>
      <c r="H124" s="30" t="s">
        <v>128</v>
      </c>
    </row>
    <row r="125" spans="2:8" ht="12.75" hidden="1" x14ac:dyDescent="0.2">
      <c r="B125" s="29">
        <v>2006</v>
      </c>
      <c r="C125" s="29">
        <v>1</v>
      </c>
      <c r="D125" s="29">
        <v>2</v>
      </c>
      <c r="E125" s="29">
        <v>14</v>
      </c>
      <c r="F125" s="30" t="s">
        <v>41</v>
      </c>
      <c r="G125" s="30" t="s">
        <v>18</v>
      </c>
      <c r="H125" s="30" t="s">
        <v>128</v>
      </c>
    </row>
    <row r="126" spans="2:8" ht="12.75" hidden="1" x14ac:dyDescent="0.2">
      <c r="B126" s="29">
        <v>2006</v>
      </c>
      <c r="C126" s="29">
        <v>1</v>
      </c>
      <c r="D126" s="29">
        <v>2</v>
      </c>
      <c r="E126" s="29">
        <f t="shared" ref="E126:E130" si="79">E125+1</f>
        <v>15</v>
      </c>
      <c r="F126" s="30" t="s">
        <v>41</v>
      </c>
      <c r="G126" s="30" t="s">
        <v>18</v>
      </c>
      <c r="H126" s="30" t="s">
        <v>128</v>
      </c>
    </row>
    <row r="127" spans="2:8" ht="12.75" hidden="1" x14ac:dyDescent="0.2">
      <c r="B127" s="29">
        <v>2006</v>
      </c>
      <c r="C127" s="29">
        <v>1</v>
      </c>
      <c r="D127" s="29">
        <v>2</v>
      </c>
      <c r="E127" s="29">
        <f t="shared" si="79"/>
        <v>16</v>
      </c>
      <c r="F127" s="30" t="s">
        <v>41</v>
      </c>
      <c r="G127" s="30" t="s">
        <v>18</v>
      </c>
      <c r="H127" s="30" t="s">
        <v>128</v>
      </c>
    </row>
    <row r="128" spans="2:8" ht="12.75" hidden="1" x14ac:dyDescent="0.2">
      <c r="B128" s="29">
        <v>2006</v>
      </c>
      <c r="C128" s="29">
        <v>1</v>
      </c>
      <c r="D128" s="29">
        <v>2</v>
      </c>
      <c r="E128" s="29">
        <f t="shared" si="79"/>
        <v>17</v>
      </c>
      <c r="F128" s="30" t="s">
        <v>41</v>
      </c>
      <c r="G128" s="30" t="s">
        <v>18</v>
      </c>
      <c r="H128" s="30" t="s">
        <v>128</v>
      </c>
    </row>
    <row r="129" spans="2:8" ht="12.75" hidden="1" x14ac:dyDescent="0.2">
      <c r="B129" s="29">
        <v>2006</v>
      </c>
      <c r="C129" s="29">
        <v>1</v>
      </c>
      <c r="D129" s="29">
        <v>2</v>
      </c>
      <c r="E129" s="29">
        <f t="shared" si="79"/>
        <v>18</v>
      </c>
      <c r="F129" s="30" t="s">
        <v>41</v>
      </c>
      <c r="G129" s="30" t="s">
        <v>18</v>
      </c>
      <c r="H129" s="30" t="s">
        <v>128</v>
      </c>
    </row>
    <row r="130" spans="2:8" ht="12.75" hidden="1" x14ac:dyDescent="0.2">
      <c r="B130" s="29">
        <v>2006</v>
      </c>
      <c r="C130" s="29">
        <v>1</v>
      </c>
      <c r="D130" s="29">
        <v>2</v>
      </c>
      <c r="E130" s="29">
        <f t="shared" si="79"/>
        <v>19</v>
      </c>
      <c r="F130" s="30" t="s">
        <v>41</v>
      </c>
      <c r="G130" s="30" t="s">
        <v>18</v>
      </c>
      <c r="H130" s="30" t="s">
        <v>128</v>
      </c>
    </row>
    <row r="131" spans="2:8" ht="12.75" hidden="1" x14ac:dyDescent="0.2">
      <c r="B131" s="29">
        <v>2006</v>
      </c>
      <c r="C131" s="29">
        <v>1</v>
      </c>
      <c r="D131" s="29">
        <v>2</v>
      </c>
      <c r="E131" s="29">
        <v>20</v>
      </c>
      <c r="F131" s="30" t="s">
        <v>42</v>
      </c>
      <c r="G131" s="30" t="s">
        <v>15</v>
      </c>
      <c r="H131" s="30" t="s">
        <v>144</v>
      </c>
    </row>
    <row r="132" spans="2:8" ht="12.75" hidden="1" x14ac:dyDescent="0.2">
      <c r="B132" s="29">
        <v>2006</v>
      </c>
      <c r="C132" s="29">
        <v>1</v>
      </c>
      <c r="D132" s="29">
        <v>2</v>
      </c>
      <c r="E132" s="29">
        <f t="shared" ref="E132:E134" si="80">E131+1</f>
        <v>21</v>
      </c>
      <c r="F132" s="30" t="s">
        <v>42</v>
      </c>
      <c r="G132" s="30" t="s">
        <v>15</v>
      </c>
      <c r="H132" s="30" t="s">
        <v>144</v>
      </c>
    </row>
    <row r="133" spans="2:8" ht="12.75" hidden="1" x14ac:dyDescent="0.2">
      <c r="B133" s="29">
        <v>2006</v>
      </c>
      <c r="C133" s="29">
        <v>1</v>
      </c>
      <c r="D133" s="29">
        <v>2</v>
      </c>
      <c r="E133" s="29">
        <f t="shared" si="80"/>
        <v>22</v>
      </c>
      <c r="F133" s="30" t="s">
        <v>42</v>
      </c>
      <c r="G133" s="30" t="s">
        <v>15</v>
      </c>
      <c r="H133" s="30" t="s">
        <v>144</v>
      </c>
    </row>
    <row r="134" spans="2:8" ht="12.75" hidden="1" x14ac:dyDescent="0.2">
      <c r="B134" s="29">
        <v>2006</v>
      </c>
      <c r="C134" s="29">
        <v>1</v>
      </c>
      <c r="D134" s="29">
        <v>2</v>
      </c>
      <c r="E134" s="29">
        <f t="shared" si="80"/>
        <v>23</v>
      </c>
      <c r="F134" s="30" t="s">
        <v>42</v>
      </c>
      <c r="G134" s="30" t="s">
        <v>15</v>
      </c>
      <c r="H134" s="30" t="s">
        <v>144</v>
      </c>
    </row>
    <row r="135" spans="2:8" ht="12.75" hidden="1" x14ac:dyDescent="0.2">
      <c r="B135" s="29">
        <v>2006</v>
      </c>
      <c r="C135" s="29">
        <v>1</v>
      </c>
      <c r="D135" s="29">
        <v>2</v>
      </c>
      <c r="E135" s="29">
        <v>24</v>
      </c>
      <c r="F135" s="30" t="s">
        <v>43</v>
      </c>
      <c r="G135" s="30" t="s">
        <v>7</v>
      </c>
      <c r="H135" s="30"/>
    </row>
    <row r="136" spans="2:8" ht="12.75" hidden="1" x14ac:dyDescent="0.2">
      <c r="B136" s="29">
        <v>2006</v>
      </c>
      <c r="C136" s="29">
        <v>1</v>
      </c>
      <c r="D136" s="29">
        <v>2</v>
      </c>
      <c r="E136" s="29">
        <f>E135+1</f>
        <v>25</v>
      </c>
      <c r="F136" s="30" t="s">
        <v>43</v>
      </c>
      <c r="G136" s="30" t="s">
        <v>7</v>
      </c>
      <c r="H136" s="30"/>
    </row>
    <row r="137" spans="2:8" ht="12.75" hidden="1" x14ac:dyDescent="0.2">
      <c r="B137" s="29">
        <v>2006</v>
      </c>
      <c r="C137" s="29">
        <v>1</v>
      </c>
      <c r="D137" s="29">
        <v>2</v>
      </c>
      <c r="E137" s="29">
        <v>26</v>
      </c>
      <c r="F137" s="30" t="s">
        <v>146</v>
      </c>
      <c r="G137" s="30" t="s">
        <v>7</v>
      </c>
      <c r="H137" s="30"/>
    </row>
    <row r="138" spans="2:8" ht="12.75" hidden="1" x14ac:dyDescent="0.2">
      <c r="B138" s="29">
        <v>2006</v>
      </c>
      <c r="C138" s="29">
        <v>1</v>
      </c>
      <c r="D138" s="29">
        <v>2</v>
      </c>
      <c r="E138" s="29">
        <f t="shared" ref="E138:E139" si="81">E137+1</f>
        <v>27</v>
      </c>
      <c r="F138" s="30" t="s">
        <v>146</v>
      </c>
      <c r="G138" s="30" t="s">
        <v>7</v>
      </c>
      <c r="H138" s="30"/>
    </row>
    <row r="139" spans="2:8" ht="12.75" hidden="1" x14ac:dyDescent="0.2">
      <c r="B139" s="29">
        <v>2006</v>
      </c>
      <c r="C139" s="29">
        <v>1</v>
      </c>
      <c r="D139" s="29">
        <v>2</v>
      </c>
      <c r="E139" s="29">
        <f t="shared" si="81"/>
        <v>28</v>
      </c>
      <c r="F139" s="30" t="s">
        <v>146</v>
      </c>
      <c r="G139" s="30" t="s">
        <v>7</v>
      </c>
      <c r="H139" s="30"/>
    </row>
    <row r="140" spans="2:8" ht="12.75" hidden="1" x14ac:dyDescent="0.2">
      <c r="B140" s="29">
        <v>2006</v>
      </c>
      <c r="C140" s="29">
        <v>2</v>
      </c>
      <c r="D140" s="29">
        <v>2</v>
      </c>
      <c r="E140" s="29">
        <v>1</v>
      </c>
      <c r="F140" s="30" t="s">
        <v>45</v>
      </c>
      <c r="G140" s="30" t="s">
        <v>18</v>
      </c>
      <c r="H140" s="30" t="s">
        <v>111</v>
      </c>
    </row>
    <row r="141" spans="2:8" ht="12.75" hidden="1" x14ac:dyDescent="0.2">
      <c r="B141" s="29">
        <v>2006</v>
      </c>
      <c r="C141" s="29">
        <v>2</v>
      </c>
      <c r="D141" s="29">
        <v>2</v>
      </c>
      <c r="E141" s="29">
        <f t="shared" ref="E141:E145" si="82">E140+1</f>
        <v>2</v>
      </c>
      <c r="F141" s="30" t="s">
        <v>45</v>
      </c>
      <c r="G141" s="30" t="s">
        <v>18</v>
      </c>
      <c r="H141" s="30" t="s">
        <v>111</v>
      </c>
    </row>
    <row r="142" spans="2:8" ht="12.75" hidden="1" x14ac:dyDescent="0.2">
      <c r="B142" s="29">
        <v>2006</v>
      </c>
      <c r="C142" s="29">
        <v>2</v>
      </c>
      <c r="D142" s="29">
        <v>2</v>
      </c>
      <c r="E142" s="29">
        <f t="shared" si="82"/>
        <v>3</v>
      </c>
      <c r="F142" s="30" t="s">
        <v>45</v>
      </c>
      <c r="G142" s="30" t="s">
        <v>18</v>
      </c>
      <c r="H142" s="30" t="s">
        <v>111</v>
      </c>
    </row>
    <row r="143" spans="2:8" ht="12.75" hidden="1" x14ac:dyDescent="0.2">
      <c r="B143" s="29">
        <v>2006</v>
      </c>
      <c r="C143" s="29">
        <v>2</v>
      </c>
      <c r="D143" s="29">
        <v>2</v>
      </c>
      <c r="E143" s="29">
        <f t="shared" si="82"/>
        <v>4</v>
      </c>
      <c r="F143" s="30" t="s">
        <v>45</v>
      </c>
      <c r="G143" s="30" t="s">
        <v>18</v>
      </c>
      <c r="H143" s="30" t="s">
        <v>111</v>
      </c>
    </row>
    <row r="144" spans="2:8" ht="12.75" hidden="1" x14ac:dyDescent="0.2">
      <c r="B144" s="29">
        <v>2006</v>
      </c>
      <c r="C144" s="29">
        <v>2</v>
      </c>
      <c r="D144" s="29">
        <v>2</v>
      </c>
      <c r="E144" s="29">
        <f t="shared" si="82"/>
        <v>5</v>
      </c>
      <c r="F144" s="30" t="s">
        <v>45</v>
      </c>
      <c r="G144" s="30" t="s">
        <v>18</v>
      </c>
      <c r="H144" s="30" t="s">
        <v>111</v>
      </c>
    </row>
    <row r="145" spans="2:8" ht="12.75" hidden="1" x14ac:dyDescent="0.2">
      <c r="B145" s="29">
        <v>2006</v>
      </c>
      <c r="C145" s="29">
        <v>2</v>
      </c>
      <c r="D145" s="29">
        <v>2</v>
      </c>
      <c r="E145" s="29">
        <f t="shared" si="82"/>
        <v>6</v>
      </c>
      <c r="F145" s="30" t="s">
        <v>45</v>
      </c>
      <c r="G145" s="30" t="s">
        <v>18</v>
      </c>
      <c r="H145" s="30" t="s">
        <v>111</v>
      </c>
    </row>
    <row r="146" spans="2:8" ht="12.75" hidden="1" x14ac:dyDescent="0.2">
      <c r="B146" s="29">
        <v>2006</v>
      </c>
      <c r="C146" s="29">
        <v>2</v>
      </c>
      <c r="D146" s="29">
        <v>2</v>
      </c>
      <c r="E146" s="29">
        <v>7</v>
      </c>
      <c r="F146" s="30" t="s">
        <v>147</v>
      </c>
      <c r="G146" s="30" t="s">
        <v>15</v>
      </c>
      <c r="H146" s="30" t="s">
        <v>133</v>
      </c>
    </row>
    <row r="147" spans="2:8" ht="12.75" hidden="1" x14ac:dyDescent="0.2">
      <c r="B147" s="29">
        <v>2006</v>
      </c>
      <c r="C147" s="29">
        <v>2</v>
      </c>
      <c r="D147" s="29">
        <v>2</v>
      </c>
      <c r="E147" s="29">
        <f t="shared" ref="E147:E150" si="83">E146+1</f>
        <v>8</v>
      </c>
      <c r="F147" s="30" t="s">
        <v>147</v>
      </c>
      <c r="G147" s="30" t="s">
        <v>15</v>
      </c>
      <c r="H147" s="30" t="s">
        <v>133</v>
      </c>
    </row>
    <row r="148" spans="2:8" ht="12.75" hidden="1" x14ac:dyDescent="0.2">
      <c r="B148" s="29">
        <v>2006</v>
      </c>
      <c r="C148" s="29">
        <v>2</v>
      </c>
      <c r="D148" s="29">
        <v>2</v>
      </c>
      <c r="E148" s="29">
        <f t="shared" si="83"/>
        <v>9</v>
      </c>
      <c r="F148" s="30" t="s">
        <v>147</v>
      </c>
      <c r="G148" s="30" t="s">
        <v>15</v>
      </c>
      <c r="H148" s="30" t="s">
        <v>133</v>
      </c>
    </row>
    <row r="149" spans="2:8" ht="12.75" hidden="1" x14ac:dyDescent="0.2">
      <c r="B149" s="29">
        <v>2006</v>
      </c>
      <c r="C149" s="29">
        <v>2</v>
      </c>
      <c r="D149" s="29">
        <v>2</v>
      </c>
      <c r="E149" s="29">
        <f t="shared" si="83"/>
        <v>10</v>
      </c>
      <c r="F149" s="30" t="s">
        <v>147</v>
      </c>
      <c r="G149" s="30" t="s">
        <v>15</v>
      </c>
      <c r="H149" s="30" t="s">
        <v>133</v>
      </c>
    </row>
    <row r="150" spans="2:8" ht="12.75" hidden="1" x14ac:dyDescent="0.2">
      <c r="B150" s="29">
        <v>2006</v>
      </c>
      <c r="C150" s="29">
        <v>2</v>
      </c>
      <c r="D150" s="29">
        <v>2</v>
      </c>
      <c r="E150" s="29">
        <f t="shared" si="83"/>
        <v>11</v>
      </c>
      <c r="F150" s="30" t="s">
        <v>147</v>
      </c>
      <c r="G150" s="30" t="s">
        <v>15</v>
      </c>
      <c r="H150" s="30" t="s">
        <v>133</v>
      </c>
    </row>
    <row r="151" spans="2:8" ht="12.75" hidden="1" x14ac:dyDescent="0.2">
      <c r="B151" s="29">
        <v>2006</v>
      </c>
      <c r="C151" s="29">
        <v>2</v>
      </c>
      <c r="D151" s="29">
        <v>2</v>
      </c>
      <c r="E151" s="29">
        <v>12</v>
      </c>
      <c r="F151" s="30" t="s">
        <v>42</v>
      </c>
      <c r="G151" s="30" t="s">
        <v>15</v>
      </c>
      <c r="H151" s="30" t="s">
        <v>144</v>
      </c>
    </row>
    <row r="152" spans="2:8" ht="12.75" hidden="1" x14ac:dyDescent="0.2">
      <c r="B152" s="29">
        <v>2006</v>
      </c>
      <c r="C152" s="29">
        <v>2</v>
      </c>
      <c r="D152" s="29">
        <v>2</v>
      </c>
      <c r="E152" s="29">
        <f t="shared" ref="E152:E154" si="84">E151+1</f>
        <v>13</v>
      </c>
      <c r="F152" s="30" t="s">
        <v>42</v>
      </c>
      <c r="G152" s="30" t="s">
        <v>15</v>
      </c>
      <c r="H152" s="30" t="s">
        <v>144</v>
      </c>
    </row>
    <row r="153" spans="2:8" ht="12.75" hidden="1" x14ac:dyDescent="0.2">
      <c r="B153" s="29">
        <v>2006</v>
      </c>
      <c r="C153" s="29">
        <v>2</v>
      </c>
      <c r="D153" s="29">
        <v>2</v>
      </c>
      <c r="E153" s="29">
        <f t="shared" si="84"/>
        <v>14</v>
      </c>
      <c r="F153" s="30" t="s">
        <v>42</v>
      </c>
      <c r="G153" s="30" t="s">
        <v>15</v>
      </c>
      <c r="H153" s="30" t="s">
        <v>144</v>
      </c>
    </row>
    <row r="154" spans="2:8" ht="12.75" hidden="1" x14ac:dyDescent="0.2">
      <c r="B154" s="29">
        <v>2006</v>
      </c>
      <c r="C154" s="29">
        <v>2</v>
      </c>
      <c r="D154" s="29">
        <v>2</v>
      </c>
      <c r="E154" s="29">
        <f t="shared" si="84"/>
        <v>15</v>
      </c>
      <c r="F154" s="30" t="s">
        <v>42</v>
      </c>
      <c r="G154" s="30" t="s">
        <v>15</v>
      </c>
      <c r="H154" s="30" t="s">
        <v>144</v>
      </c>
    </row>
    <row r="155" spans="2:8" ht="12.75" hidden="1" x14ac:dyDescent="0.2">
      <c r="B155" s="29">
        <v>2006</v>
      </c>
      <c r="C155" s="29">
        <v>2</v>
      </c>
      <c r="D155" s="29">
        <v>2</v>
      </c>
      <c r="E155" s="29">
        <v>16</v>
      </c>
      <c r="F155" s="30" t="s">
        <v>47</v>
      </c>
      <c r="G155" s="30" t="s">
        <v>15</v>
      </c>
      <c r="H155" s="30" t="s">
        <v>127</v>
      </c>
    </row>
    <row r="156" spans="2:8" ht="12.75" hidden="1" x14ac:dyDescent="0.2">
      <c r="B156" s="29">
        <v>2006</v>
      </c>
      <c r="C156" s="29">
        <v>2</v>
      </c>
      <c r="D156" s="29">
        <v>2</v>
      </c>
      <c r="E156" s="29">
        <f t="shared" ref="E156:E160" si="85">E155+1</f>
        <v>17</v>
      </c>
      <c r="F156" s="30" t="s">
        <v>47</v>
      </c>
      <c r="G156" s="30" t="s">
        <v>15</v>
      </c>
      <c r="H156" s="30" t="s">
        <v>127</v>
      </c>
    </row>
    <row r="157" spans="2:8" ht="12.75" hidden="1" x14ac:dyDescent="0.2">
      <c r="B157" s="29">
        <v>2006</v>
      </c>
      <c r="C157" s="29">
        <v>2</v>
      </c>
      <c r="D157" s="29">
        <v>2</v>
      </c>
      <c r="E157" s="29">
        <f t="shared" si="85"/>
        <v>18</v>
      </c>
      <c r="F157" s="30" t="s">
        <v>47</v>
      </c>
      <c r="G157" s="30" t="s">
        <v>15</v>
      </c>
      <c r="H157" s="30" t="s">
        <v>127</v>
      </c>
    </row>
    <row r="158" spans="2:8" ht="12.75" hidden="1" x14ac:dyDescent="0.2">
      <c r="B158" s="29">
        <v>2006</v>
      </c>
      <c r="C158" s="29">
        <v>2</v>
      </c>
      <c r="D158" s="29">
        <v>2</v>
      </c>
      <c r="E158" s="29">
        <f t="shared" si="85"/>
        <v>19</v>
      </c>
      <c r="F158" s="30" t="s">
        <v>47</v>
      </c>
      <c r="G158" s="30" t="s">
        <v>15</v>
      </c>
      <c r="H158" s="30" t="s">
        <v>127</v>
      </c>
    </row>
    <row r="159" spans="2:8" ht="12.75" hidden="1" x14ac:dyDescent="0.2">
      <c r="B159" s="29">
        <v>2006</v>
      </c>
      <c r="C159" s="29">
        <v>2</v>
      </c>
      <c r="D159" s="29">
        <v>2</v>
      </c>
      <c r="E159" s="29">
        <f t="shared" si="85"/>
        <v>20</v>
      </c>
      <c r="F159" s="30" t="s">
        <v>47</v>
      </c>
      <c r="G159" s="30" t="s">
        <v>15</v>
      </c>
      <c r="H159" s="30" t="s">
        <v>127</v>
      </c>
    </row>
    <row r="160" spans="2:8" ht="12.75" hidden="1" x14ac:dyDescent="0.2">
      <c r="B160" s="29">
        <v>2006</v>
      </c>
      <c r="C160" s="29">
        <v>2</v>
      </c>
      <c r="D160" s="29">
        <v>2</v>
      </c>
      <c r="E160" s="29">
        <f t="shared" si="85"/>
        <v>21</v>
      </c>
      <c r="F160" s="30" t="s">
        <v>47</v>
      </c>
      <c r="G160" s="30" t="s">
        <v>15</v>
      </c>
      <c r="H160" s="30" t="s">
        <v>127</v>
      </c>
    </row>
    <row r="161" spans="2:8" ht="12.75" hidden="1" x14ac:dyDescent="0.2">
      <c r="B161" s="29">
        <v>2006</v>
      </c>
      <c r="C161" s="29">
        <v>2</v>
      </c>
      <c r="D161" s="29">
        <v>2</v>
      </c>
      <c r="E161" s="29">
        <v>22</v>
      </c>
      <c r="F161" s="30" t="s">
        <v>148</v>
      </c>
      <c r="G161" s="30" t="s">
        <v>18</v>
      </c>
      <c r="H161" s="30" t="s">
        <v>111</v>
      </c>
    </row>
    <row r="162" spans="2:8" ht="12.75" hidden="1" x14ac:dyDescent="0.2">
      <c r="B162" s="29">
        <v>2006</v>
      </c>
      <c r="C162" s="29">
        <v>2</v>
      </c>
      <c r="D162" s="29">
        <v>2</v>
      </c>
      <c r="E162" s="29">
        <f t="shared" ref="E162:E167" si="86">E161+1</f>
        <v>23</v>
      </c>
      <c r="F162" s="30" t="s">
        <v>148</v>
      </c>
      <c r="G162" s="30" t="s">
        <v>18</v>
      </c>
      <c r="H162" s="30" t="s">
        <v>111</v>
      </c>
    </row>
    <row r="163" spans="2:8" ht="12.75" hidden="1" x14ac:dyDescent="0.2">
      <c r="B163" s="29">
        <v>2006</v>
      </c>
      <c r="C163" s="29">
        <v>2</v>
      </c>
      <c r="D163" s="29">
        <v>2</v>
      </c>
      <c r="E163" s="29">
        <f t="shared" si="86"/>
        <v>24</v>
      </c>
      <c r="F163" s="30" t="s">
        <v>148</v>
      </c>
      <c r="G163" s="30" t="s">
        <v>18</v>
      </c>
      <c r="H163" s="30" t="s">
        <v>111</v>
      </c>
    </row>
    <row r="164" spans="2:8" ht="12.75" hidden="1" x14ac:dyDescent="0.2">
      <c r="B164" s="29">
        <v>2006</v>
      </c>
      <c r="C164" s="29">
        <v>2</v>
      </c>
      <c r="D164" s="29">
        <v>2</v>
      </c>
      <c r="E164" s="29">
        <f t="shared" si="86"/>
        <v>25</v>
      </c>
      <c r="F164" s="30" t="s">
        <v>148</v>
      </c>
      <c r="G164" s="30" t="s">
        <v>18</v>
      </c>
      <c r="H164" s="30" t="s">
        <v>111</v>
      </c>
    </row>
    <row r="165" spans="2:8" ht="12.75" hidden="1" x14ac:dyDescent="0.2">
      <c r="B165" s="29">
        <v>2006</v>
      </c>
      <c r="C165" s="29">
        <v>2</v>
      </c>
      <c r="D165" s="29">
        <v>2</v>
      </c>
      <c r="E165" s="29">
        <f t="shared" si="86"/>
        <v>26</v>
      </c>
      <c r="F165" s="30" t="s">
        <v>148</v>
      </c>
      <c r="G165" s="30" t="s">
        <v>18</v>
      </c>
      <c r="H165" s="30" t="s">
        <v>111</v>
      </c>
    </row>
    <row r="166" spans="2:8" ht="12.75" hidden="1" x14ac:dyDescent="0.2">
      <c r="B166" s="29">
        <v>2006</v>
      </c>
      <c r="C166" s="29">
        <v>2</v>
      </c>
      <c r="D166" s="29">
        <v>2</v>
      </c>
      <c r="E166" s="29">
        <f t="shared" si="86"/>
        <v>27</v>
      </c>
      <c r="F166" s="30" t="s">
        <v>148</v>
      </c>
      <c r="G166" s="30" t="s">
        <v>18</v>
      </c>
      <c r="H166" s="30" t="s">
        <v>111</v>
      </c>
    </row>
    <row r="167" spans="2:8" ht="12.75" hidden="1" x14ac:dyDescent="0.2">
      <c r="B167" s="29">
        <v>2006</v>
      </c>
      <c r="C167" s="29">
        <v>2</v>
      </c>
      <c r="D167" s="29">
        <v>2</v>
      </c>
      <c r="E167" s="29">
        <f t="shared" si="86"/>
        <v>28</v>
      </c>
      <c r="F167" s="30" t="s">
        <v>148</v>
      </c>
      <c r="G167" s="30" t="s">
        <v>18</v>
      </c>
      <c r="H167" s="30" t="s">
        <v>111</v>
      </c>
    </row>
    <row r="168" spans="2:8" ht="12.75" hidden="1" x14ac:dyDescent="0.2">
      <c r="B168" s="29">
        <v>2006</v>
      </c>
      <c r="C168" s="29">
        <v>2</v>
      </c>
      <c r="D168" s="29">
        <v>2</v>
      </c>
      <c r="E168" s="29">
        <v>29</v>
      </c>
      <c r="F168" s="30" t="s">
        <v>146</v>
      </c>
      <c r="G168" s="30" t="s">
        <v>7</v>
      </c>
      <c r="H168" s="30"/>
    </row>
    <row r="169" spans="2:8" ht="12.75" hidden="1" x14ac:dyDescent="0.2">
      <c r="B169" s="29">
        <v>2006</v>
      </c>
      <c r="C169" s="29">
        <v>2</v>
      </c>
      <c r="D169" s="29">
        <v>2</v>
      </c>
      <c r="E169" s="29">
        <f t="shared" ref="E169:E170" si="87">E168+1</f>
        <v>30</v>
      </c>
      <c r="F169" s="30" t="s">
        <v>146</v>
      </c>
      <c r="G169" s="30" t="s">
        <v>7</v>
      </c>
      <c r="H169" s="30"/>
    </row>
    <row r="170" spans="2:8" ht="12.75" hidden="1" x14ac:dyDescent="0.2">
      <c r="B170" s="29">
        <v>2006</v>
      </c>
      <c r="C170" s="29">
        <v>2</v>
      </c>
      <c r="D170" s="29">
        <v>2</v>
      </c>
      <c r="E170" s="29">
        <f t="shared" si="87"/>
        <v>31</v>
      </c>
      <c r="F170" s="30" t="s">
        <v>146</v>
      </c>
      <c r="G170" s="30" t="s">
        <v>7</v>
      </c>
      <c r="H170" s="30"/>
    </row>
    <row r="171" spans="2:8" ht="12.75" hidden="1" x14ac:dyDescent="0.2">
      <c r="B171" s="29">
        <v>2006</v>
      </c>
      <c r="C171" s="29">
        <v>2</v>
      </c>
      <c r="D171" s="29">
        <v>2</v>
      </c>
      <c r="E171" s="29">
        <v>32</v>
      </c>
      <c r="F171" s="30" t="s">
        <v>149</v>
      </c>
      <c r="G171" s="30" t="s">
        <v>11</v>
      </c>
      <c r="H171" s="30"/>
    </row>
    <row r="172" spans="2:8" ht="12.75" hidden="1" x14ac:dyDescent="0.2">
      <c r="B172" s="29">
        <v>2006</v>
      </c>
      <c r="C172" s="29">
        <v>2</v>
      </c>
      <c r="D172" s="29">
        <v>2</v>
      </c>
      <c r="E172" s="29">
        <f t="shared" ref="E172:E174" si="88">E171+1</f>
        <v>33</v>
      </c>
      <c r="F172" s="30" t="s">
        <v>149</v>
      </c>
      <c r="G172" s="30" t="s">
        <v>11</v>
      </c>
      <c r="H172" s="30"/>
    </row>
    <row r="173" spans="2:8" ht="12.75" hidden="1" x14ac:dyDescent="0.2">
      <c r="B173" s="29">
        <v>2006</v>
      </c>
      <c r="C173" s="29">
        <v>2</v>
      </c>
      <c r="D173" s="29">
        <v>2</v>
      </c>
      <c r="E173" s="29">
        <f t="shared" si="88"/>
        <v>34</v>
      </c>
      <c r="F173" s="30" t="s">
        <v>149</v>
      </c>
      <c r="G173" s="30" t="s">
        <v>11</v>
      </c>
      <c r="H173" s="30"/>
    </row>
    <row r="174" spans="2:8" ht="12.75" hidden="1" x14ac:dyDescent="0.2">
      <c r="B174" s="29">
        <v>2006</v>
      </c>
      <c r="C174" s="29">
        <v>2</v>
      </c>
      <c r="D174" s="29">
        <v>2</v>
      </c>
      <c r="E174" s="29">
        <f t="shared" si="88"/>
        <v>35</v>
      </c>
      <c r="F174" s="30" t="s">
        <v>149</v>
      </c>
      <c r="G174" s="30" t="s">
        <v>11</v>
      </c>
      <c r="H174" s="30"/>
    </row>
    <row r="175" spans="2:8" ht="12.75" hidden="1" x14ac:dyDescent="0.2">
      <c r="B175" s="29">
        <v>2007</v>
      </c>
      <c r="C175" s="29">
        <v>1</v>
      </c>
      <c r="D175" s="29">
        <v>1</v>
      </c>
      <c r="E175" s="29">
        <v>1</v>
      </c>
      <c r="F175" s="30" t="s">
        <v>150</v>
      </c>
      <c r="G175" s="30" t="s">
        <v>11</v>
      </c>
      <c r="H175" s="30"/>
    </row>
    <row r="176" spans="2:8" ht="12.75" hidden="1" x14ac:dyDescent="0.2">
      <c r="B176" s="29">
        <v>2007</v>
      </c>
      <c r="C176" s="29">
        <v>1</v>
      </c>
      <c r="D176" s="29">
        <v>1</v>
      </c>
      <c r="E176" s="29">
        <f t="shared" ref="E176:E179" si="89">E175+1</f>
        <v>2</v>
      </c>
      <c r="F176" s="30" t="s">
        <v>150</v>
      </c>
      <c r="G176" s="30" t="s">
        <v>11</v>
      </c>
      <c r="H176" s="30"/>
    </row>
    <row r="177" spans="2:8" ht="12.75" hidden="1" x14ac:dyDescent="0.2">
      <c r="B177" s="29">
        <v>2007</v>
      </c>
      <c r="C177" s="29">
        <v>1</v>
      </c>
      <c r="D177" s="29">
        <v>1</v>
      </c>
      <c r="E177" s="29">
        <f t="shared" si="89"/>
        <v>3</v>
      </c>
      <c r="F177" s="30" t="s">
        <v>150</v>
      </c>
      <c r="G177" s="30" t="s">
        <v>11</v>
      </c>
      <c r="H177" s="30"/>
    </row>
    <row r="178" spans="2:8" ht="12.75" hidden="1" x14ac:dyDescent="0.2">
      <c r="B178" s="29">
        <v>2007</v>
      </c>
      <c r="C178" s="29">
        <v>1</v>
      </c>
      <c r="D178" s="29">
        <v>1</v>
      </c>
      <c r="E178" s="29">
        <f t="shared" si="89"/>
        <v>4</v>
      </c>
      <c r="F178" s="30" t="s">
        <v>150</v>
      </c>
      <c r="G178" s="30" t="s">
        <v>11</v>
      </c>
      <c r="H178" s="30"/>
    </row>
    <row r="179" spans="2:8" ht="12.75" hidden="1" x14ac:dyDescent="0.2">
      <c r="B179" s="29">
        <v>2007</v>
      </c>
      <c r="C179" s="29">
        <v>1</v>
      </c>
      <c r="D179" s="29">
        <v>1</v>
      </c>
      <c r="E179" s="29">
        <f t="shared" si="89"/>
        <v>5</v>
      </c>
      <c r="F179" s="30" t="s">
        <v>150</v>
      </c>
      <c r="G179" s="30" t="s">
        <v>11</v>
      </c>
      <c r="H179" s="30"/>
    </row>
    <row r="180" spans="2:8" ht="12.75" hidden="1" x14ac:dyDescent="0.2">
      <c r="B180" s="29">
        <v>2007</v>
      </c>
      <c r="C180" s="29">
        <v>1</v>
      </c>
      <c r="D180" s="29">
        <v>1</v>
      </c>
      <c r="E180" s="29">
        <v>6</v>
      </c>
      <c r="F180" s="30" t="s">
        <v>151</v>
      </c>
      <c r="G180" s="30" t="s">
        <v>15</v>
      </c>
      <c r="H180" s="30" t="s">
        <v>144</v>
      </c>
    </row>
    <row r="181" spans="2:8" ht="12.75" hidden="1" x14ac:dyDescent="0.2">
      <c r="B181" s="29">
        <v>2007</v>
      </c>
      <c r="C181" s="29">
        <v>1</v>
      </c>
      <c r="D181" s="29">
        <v>1</v>
      </c>
      <c r="E181" s="29">
        <f t="shared" ref="E181:E184" si="90">E180+1</f>
        <v>7</v>
      </c>
      <c r="F181" s="30" t="s">
        <v>151</v>
      </c>
      <c r="G181" s="30" t="s">
        <v>15</v>
      </c>
      <c r="H181" s="30" t="s">
        <v>144</v>
      </c>
    </row>
    <row r="182" spans="2:8" ht="12.75" hidden="1" x14ac:dyDescent="0.2">
      <c r="B182" s="29">
        <v>2007</v>
      </c>
      <c r="C182" s="29">
        <v>1</v>
      </c>
      <c r="D182" s="29">
        <v>1</v>
      </c>
      <c r="E182" s="29">
        <f t="shared" si="90"/>
        <v>8</v>
      </c>
      <c r="F182" s="30" t="s">
        <v>151</v>
      </c>
      <c r="G182" s="30" t="s">
        <v>15</v>
      </c>
      <c r="H182" s="30" t="s">
        <v>144</v>
      </c>
    </row>
    <row r="183" spans="2:8" ht="12.75" hidden="1" x14ac:dyDescent="0.2">
      <c r="B183" s="29">
        <v>2007</v>
      </c>
      <c r="C183" s="29">
        <v>1</v>
      </c>
      <c r="D183" s="29">
        <v>1</v>
      </c>
      <c r="E183" s="29">
        <f t="shared" si="90"/>
        <v>9</v>
      </c>
      <c r="F183" s="30" t="s">
        <v>151</v>
      </c>
      <c r="G183" s="30" t="s">
        <v>15</v>
      </c>
      <c r="H183" s="30" t="s">
        <v>144</v>
      </c>
    </row>
    <row r="184" spans="2:8" ht="12.75" hidden="1" x14ac:dyDescent="0.2">
      <c r="B184" s="29">
        <v>2007</v>
      </c>
      <c r="C184" s="29">
        <v>1</v>
      </c>
      <c r="D184" s="29">
        <v>1</v>
      </c>
      <c r="E184" s="29">
        <f t="shared" si="90"/>
        <v>10</v>
      </c>
      <c r="F184" s="30" t="s">
        <v>151</v>
      </c>
      <c r="G184" s="30" t="s">
        <v>15</v>
      </c>
      <c r="H184" s="30" t="s">
        <v>144</v>
      </c>
    </row>
    <row r="185" spans="2:8" ht="12.75" hidden="1" x14ac:dyDescent="0.2">
      <c r="B185" s="29">
        <v>2007</v>
      </c>
      <c r="C185" s="29">
        <v>1</v>
      </c>
      <c r="D185" s="29">
        <v>1</v>
      </c>
      <c r="E185" s="29">
        <v>11</v>
      </c>
      <c r="F185" s="30" t="s">
        <v>152</v>
      </c>
      <c r="G185" s="30" t="s">
        <v>15</v>
      </c>
      <c r="H185" s="30" t="s">
        <v>144</v>
      </c>
    </row>
    <row r="186" spans="2:8" ht="12.75" hidden="1" x14ac:dyDescent="0.2">
      <c r="B186" s="29">
        <v>2007</v>
      </c>
      <c r="C186" s="29">
        <v>1</v>
      </c>
      <c r="D186" s="29">
        <v>1</v>
      </c>
      <c r="E186" s="29">
        <f t="shared" ref="E186:E189" si="91">E185+1</f>
        <v>12</v>
      </c>
      <c r="F186" s="30" t="s">
        <v>152</v>
      </c>
      <c r="G186" s="30" t="s">
        <v>15</v>
      </c>
      <c r="H186" s="30" t="s">
        <v>144</v>
      </c>
    </row>
    <row r="187" spans="2:8" ht="12.75" hidden="1" x14ac:dyDescent="0.2">
      <c r="B187" s="29">
        <v>2007</v>
      </c>
      <c r="C187" s="29">
        <v>1</v>
      </c>
      <c r="D187" s="29">
        <v>1</v>
      </c>
      <c r="E187" s="29">
        <f t="shared" si="91"/>
        <v>13</v>
      </c>
      <c r="F187" s="30" t="s">
        <v>152</v>
      </c>
      <c r="G187" s="30" t="s">
        <v>15</v>
      </c>
      <c r="H187" s="30" t="s">
        <v>144</v>
      </c>
    </row>
    <row r="188" spans="2:8" ht="12.75" hidden="1" x14ac:dyDescent="0.2">
      <c r="B188" s="29">
        <v>2007</v>
      </c>
      <c r="C188" s="29">
        <v>1</v>
      </c>
      <c r="D188" s="29">
        <v>1</v>
      </c>
      <c r="E188" s="29">
        <f t="shared" si="91"/>
        <v>14</v>
      </c>
      <c r="F188" s="30" t="s">
        <v>152</v>
      </c>
      <c r="G188" s="30" t="s">
        <v>15</v>
      </c>
      <c r="H188" s="30" t="s">
        <v>144</v>
      </c>
    </row>
    <row r="189" spans="2:8" ht="12.75" hidden="1" x14ac:dyDescent="0.2">
      <c r="B189" s="29">
        <v>2007</v>
      </c>
      <c r="C189" s="29">
        <v>1</v>
      </c>
      <c r="D189" s="29">
        <v>1</v>
      </c>
      <c r="E189" s="29">
        <f t="shared" si="91"/>
        <v>15</v>
      </c>
      <c r="F189" s="30" t="s">
        <v>152</v>
      </c>
      <c r="G189" s="30" t="s">
        <v>15</v>
      </c>
      <c r="H189" s="30" t="s">
        <v>144</v>
      </c>
    </row>
    <row r="190" spans="2:8" ht="12.75" hidden="1" x14ac:dyDescent="0.2">
      <c r="B190" s="29">
        <v>2007</v>
      </c>
      <c r="C190" s="29">
        <v>1</v>
      </c>
      <c r="D190" s="29">
        <v>1</v>
      </c>
      <c r="E190" s="29">
        <v>16</v>
      </c>
      <c r="F190" s="30" t="s">
        <v>153</v>
      </c>
      <c r="G190" s="30" t="s">
        <v>7</v>
      </c>
      <c r="H190" s="30"/>
    </row>
    <row r="191" spans="2:8" ht="12.75" hidden="1" x14ac:dyDescent="0.2">
      <c r="B191" s="29">
        <v>2007</v>
      </c>
      <c r="C191" s="29">
        <v>1</v>
      </c>
      <c r="D191" s="29">
        <v>1</v>
      </c>
      <c r="E191" s="29">
        <f t="shared" ref="E191:E194" si="92">E190+1</f>
        <v>17</v>
      </c>
      <c r="F191" s="30" t="s">
        <v>153</v>
      </c>
      <c r="G191" s="30" t="s">
        <v>7</v>
      </c>
      <c r="H191" s="30"/>
    </row>
    <row r="192" spans="2:8" ht="12.75" hidden="1" x14ac:dyDescent="0.2">
      <c r="B192" s="29">
        <v>2007</v>
      </c>
      <c r="C192" s="29">
        <v>1</v>
      </c>
      <c r="D192" s="29">
        <v>1</v>
      </c>
      <c r="E192" s="29">
        <f t="shared" si="92"/>
        <v>18</v>
      </c>
      <c r="F192" s="30" t="s">
        <v>153</v>
      </c>
      <c r="G192" s="30" t="s">
        <v>7</v>
      </c>
      <c r="H192" s="30"/>
    </row>
    <row r="193" spans="2:8" ht="12.75" hidden="1" x14ac:dyDescent="0.2">
      <c r="B193" s="29">
        <v>2007</v>
      </c>
      <c r="C193" s="29">
        <v>1</v>
      </c>
      <c r="D193" s="29">
        <v>1</v>
      </c>
      <c r="E193" s="29">
        <f t="shared" si="92"/>
        <v>19</v>
      </c>
      <c r="F193" s="30" t="s">
        <v>153</v>
      </c>
      <c r="G193" s="30" t="s">
        <v>7</v>
      </c>
      <c r="H193" s="30"/>
    </row>
    <row r="194" spans="2:8" ht="12.75" hidden="1" x14ac:dyDescent="0.2">
      <c r="B194" s="29">
        <v>2007</v>
      </c>
      <c r="C194" s="29">
        <v>1</v>
      </c>
      <c r="D194" s="29">
        <v>1</v>
      </c>
      <c r="E194" s="29">
        <f t="shared" si="92"/>
        <v>20</v>
      </c>
      <c r="F194" s="30" t="s">
        <v>153</v>
      </c>
      <c r="G194" s="30" t="s">
        <v>7</v>
      </c>
      <c r="H194" s="30"/>
    </row>
    <row r="195" spans="2:8" ht="12.75" hidden="1" x14ac:dyDescent="0.2">
      <c r="B195" s="29">
        <v>2007</v>
      </c>
      <c r="C195" s="29">
        <v>2</v>
      </c>
      <c r="D195" s="29">
        <v>1</v>
      </c>
      <c r="E195" s="29">
        <v>1</v>
      </c>
      <c r="F195" s="30" t="s">
        <v>154</v>
      </c>
      <c r="G195" s="30" t="s">
        <v>18</v>
      </c>
      <c r="H195" s="30" t="s">
        <v>114</v>
      </c>
    </row>
    <row r="196" spans="2:8" ht="12.75" hidden="1" x14ac:dyDescent="0.2">
      <c r="B196" s="29">
        <v>2007</v>
      </c>
      <c r="C196" s="29">
        <v>2</v>
      </c>
      <c r="D196" s="29">
        <v>1</v>
      </c>
      <c r="E196" s="29">
        <f t="shared" ref="E196:E199" si="93">E195+1</f>
        <v>2</v>
      </c>
      <c r="F196" s="30" t="s">
        <v>154</v>
      </c>
      <c r="G196" s="30" t="s">
        <v>18</v>
      </c>
      <c r="H196" s="30" t="s">
        <v>114</v>
      </c>
    </row>
    <row r="197" spans="2:8" ht="12.75" hidden="1" x14ac:dyDescent="0.2">
      <c r="B197" s="29">
        <v>2007</v>
      </c>
      <c r="C197" s="29">
        <v>2</v>
      </c>
      <c r="D197" s="29">
        <v>1</v>
      </c>
      <c r="E197" s="29">
        <f t="shared" si="93"/>
        <v>3</v>
      </c>
      <c r="F197" s="30" t="s">
        <v>154</v>
      </c>
      <c r="G197" s="30" t="s">
        <v>18</v>
      </c>
      <c r="H197" s="30" t="s">
        <v>114</v>
      </c>
    </row>
    <row r="198" spans="2:8" ht="12.75" hidden="1" x14ac:dyDescent="0.2">
      <c r="B198" s="29">
        <v>2007</v>
      </c>
      <c r="C198" s="29">
        <v>2</v>
      </c>
      <c r="D198" s="29">
        <v>1</v>
      </c>
      <c r="E198" s="29">
        <f t="shared" si="93"/>
        <v>4</v>
      </c>
      <c r="F198" s="30" t="s">
        <v>154</v>
      </c>
      <c r="G198" s="30" t="s">
        <v>18</v>
      </c>
      <c r="H198" s="30" t="s">
        <v>114</v>
      </c>
    </row>
    <row r="199" spans="2:8" ht="12.75" hidden="1" x14ac:dyDescent="0.2">
      <c r="B199" s="29">
        <v>2007</v>
      </c>
      <c r="C199" s="29">
        <v>2</v>
      </c>
      <c r="D199" s="29">
        <v>1</v>
      </c>
      <c r="E199" s="29">
        <f t="shared" si="93"/>
        <v>5</v>
      </c>
      <c r="F199" s="30" t="s">
        <v>154</v>
      </c>
      <c r="G199" s="30" t="s">
        <v>18</v>
      </c>
      <c r="H199" s="30" t="s">
        <v>114</v>
      </c>
    </row>
    <row r="200" spans="2:8" ht="12.75" hidden="1" x14ac:dyDescent="0.2">
      <c r="B200" s="29">
        <v>2007</v>
      </c>
      <c r="C200" s="29">
        <v>2</v>
      </c>
      <c r="D200" s="29">
        <v>1</v>
      </c>
      <c r="E200" s="29">
        <v>6</v>
      </c>
      <c r="F200" s="30" t="s">
        <v>155</v>
      </c>
      <c r="G200" s="30" t="s">
        <v>15</v>
      </c>
      <c r="H200" s="30" t="s">
        <v>144</v>
      </c>
    </row>
    <row r="201" spans="2:8" ht="12.75" hidden="1" x14ac:dyDescent="0.2">
      <c r="B201" s="29">
        <v>2007</v>
      </c>
      <c r="C201" s="29">
        <v>2</v>
      </c>
      <c r="D201" s="29">
        <v>1</v>
      </c>
      <c r="E201" s="29">
        <f t="shared" ref="E201:E204" si="94">E200+1</f>
        <v>7</v>
      </c>
      <c r="F201" s="30" t="s">
        <v>155</v>
      </c>
      <c r="G201" s="30" t="s">
        <v>15</v>
      </c>
      <c r="H201" s="30" t="s">
        <v>144</v>
      </c>
    </row>
    <row r="202" spans="2:8" ht="12.75" hidden="1" x14ac:dyDescent="0.2">
      <c r="B202" s="29">
        <v>2007</v>
      </c>
      <c r="C202" s="29">
        <v>2</v>
      </c>
      <c r="D202" s="29">
        <v>1</v>
      </c>
      <c r="E202" s="29">
        <f t="shared" si="94"/>
        <v>8</v>
      </c>
      <c r="F202" s="30" t="s">
        <v>155</v>
      </c>
      <c r="G202" s="30" t="s">
        <v>15</v>
      </c>
      <c r="H202" s="30" t="s">
        <v>144</v>
      </c>
    </row>
    <row r="203" spans="2:8" ht="12.75" hidden="1" x14ac:dyDescent="0.2">
      <c r="B203" s="29">
        <v>2007</v>
      </c>
      <c r="C203" s="29">
        <v>2</v>
      </c>
      <c r="D203" s="29">
        <v>1</v>
      </c>
      <c r="E203" s="29">
        <f t="shared" si="94"/>
        <v>9</v>
      </c>
      <c r="F203" s="30" t="s">
        <v>155</v>
      </c>
      <c r="G203" s="30" t="s">
        <v>15</v>
      </c>
      <c r="H203" s="30" t="s">
        <v>144</v>
      </c>
    </row>
    <row r="204" spans="2:8" ht="12.75" hidden="1" x14ac:dyDescent="0.2">
      <c r="B204" s="29">
        <v>2007</v>
      </c>
      <c r="C204" s="29">
        <v>2</v>
      </c>
      <c r="D204" s="29">
        <v>1</v>
      </c>
      <c r="E204" s="29">
        <f t="shared" si="94"/>
        <v>10</v>
      </c>
      <c r="F204" s="30" t="s">
        <v>155</v>
      </c>
      <c r="G204" s="30" t="s">
        <v>15</v>
      </c>
      <c r="H204" s="30" t="s">
        <v>144</v>
      </c>
    </row>
    <row r="205" spans="2:8" ht="12.75" hidden="1" x14ac:dyDescent="0.2">
      <c r="B205" s="29">
        <v>2007</v>
      </c>
      <c r="C205" s="29">
        <v>2</v>
      </c>
      <c r="D205" s="29">
        <v>1</v>
      </c>
      <c r="E205" s="29">
        <v>11</v>
      </c>
      <c r="F205" s="30" t="s">
        <v>156</v>
      </c>
      <c r="G205" s="30" t="s">
        <v>7</v>
      </c>
      <c r="H205" s="30"/>
    </row>
    <row r="206" spans="2:8" ht="12.75" hidden="1" x14ac:dyDescent="0.2">
      <c r="B206" s="29">
        <v>2007</v>
      </c>
      <c r="C206" s="29">
        <v>2</v>
      </c>
      <c r="D206" s="29">
        <v>1</v>
      </c>
      <c r="E206" s="29">
        <f t="shared" ref="E206:E209" si="95">E205+1</f>
        <v>12</v>
      </c>
      <c r="F206" s="30" t="s">
        <v>156</v>
      </c>
      <c r="G206" s="30" t="s">
        <v>7</v>
      </c>
      <c r="H206" s="30"/>
    </row>
    <row r="207" spans="2:8" ht="12.75" hidden="1" x14ac:dyDescent="0.2">
      <c r="B207" s="29">
        <v>2007</v>
      </c>
      <c r="C207" s="29">
        <v>2</v>
      </c>
      <c r="D207" s="29">
        <v>1</v>
      </c>
      <c r="E207" s="29">
        <f t="shared" si="95"/>
        <v>13</v>
      </c>
      <c r="F207" s="30" t="s">
        <v>156</v>
      </c>
      <c r="G207" s="30" t="s">
        <v>7</v>
      </c>
      <c r="H207" s="30"/>
    </row>
    <row r="208" spans="2:8" ht="12.75" hidden="1" x14ac:dyDescent="0.2">
      <c r="B208" s="29">
        <v>2007</v>
      </c>
      <c r="C208" s="29">
        <v>2</v>
      </c>
      <c r="D208" s="29">
        <v>1</v>
      </c>
      <c r="E208" s="29">
        <f t="shared" si="95"/>
        <v>14</v>
      </c>
      <c r="F208" s="30" t="s">
        <v>156</v>
      </c>
      <c r="G208" s="30" t="s">
        <v>7</v>
      </c>
      <c r="H208" s="30"/>
    </row>
    <row r="209" spans="2:8" ht="12.75" hidden="1" x14ac:dyDescent="0.2">
      <c r="B209" s="29">
        <v>2007</v>
      </c>
      <c r="C209" s="29">
        <v>2</v>
      </c>
      <c r="D209" s="29">
        <v>1</v>
      </c>
      <c r="E209" s="29">
        <f t="shared" si="95"/>
        <v>15</v>
      </c>
      <c r="F209" s="30" t="s">
        <v>156</v>
      </c>
      <c r="G209" s="30" t="s">
        <v>7</v>
      </c>
      <c r="H209" s="30"/>
    </row>
    <row r="210" spans="2:8" ht="12.75" hidden="1" x14ac:dyDescent="0.2">
      <c r="B210" s="29">
        <v>2007</v>
      </c>
      <c r="C210" s="29">
        <v>2</v>
      </c>
      <c r="D210" s="29">
        <v>1</v>
      </c>
      <c r="E210" s="29">
        <v>16</v>
      </c>
      <c r="F210" s="30" t="s">
        <v>153</v>
      </c>
      <c r="G210" s="30" t="s">
        <v>7</v>
      </c>
      <c r="H210" s="30"/>
    </row>
    <row r="211" spans="2:8" ht="12.75" hidden="1" x14ac:dyDescent="0.2">
      <c r="B211" s="29">
        <v>2007</v>
      </c>
      <c r="C211" s="29">
        <v>2</v>
      </c>
      <c r="D211" s="29">
        <v>1</v>
      </c>
      <c r="E211" s="29">
        <f t="shared" ref="E211:E214" si="96">E210+1</f>
        <v>17</v>
      </c>
      <c r="F211" s="30" t="s">
        <v>153</v>
      </c>
      <c r="G211" s="30" t="s">
        <v>7</v>
      </c>
      <c r="H211" s="30"/>
    </row>
    <row r="212" spans="2:8" ht="12.75" hidden="1" x14ac:dyDescent="0.2">
      <c r="B212" s="29">
        <v>2007</v>
      </c>
      <c r="C212" s="29">
        <v>2</v>
      </c>
      <c r="D212" s="29">
        <v>1</v>
      </c>
      <c r="E212" s="29">
        <f t="shared" si="96"/>
        <v>18</v>
      </c>
      <c r="F212" s="30" t="s">
        <v>153</v>
      </c>
      <c r="G212" s="30" t="s">
        <v>7</v>
      </c>
      <c r="H212" s="30"/>
    </row>
    <row r="213" spans="2:8" ht="12.75" hidden="1" x14ac:dyDescent="0.2">
      <c r="B213" s="29">
        <v>2007</v>
      </c>
      <c r="C213" s="29">
        <v>2</v>
      </c>
      <c r="D213" s="29">
        <v>1</v>
      </c>
      <c r="E213" s="29">
        <f t="shared" si="96"/>
        <v>19</v>
      </c>
      <c r="F213" s="30" t="s">
        <v>153</v>
      </c>
      <c r="G213" s="30" t="s">
        <v>7</v>
      </c>
      <c r="H213" s="30"/>
    </row>
    <row r="214" spans="2:8" ht="12.75" hidden="1" x14ac:dyDescent="0.2">
      <c r="B214" s="29">
        <v>2007</v>
      </c>
      <c r="C214" s="29">
        <v>2</v>
      </c>
      <c r="D214" s="29">
        <v>1</v>
      </c>
      <c r="E214" s="29">
        <f t="shared" si="96"/>
        <v>20</v>
      </c>
      <c r="F214" s="30" t="s">
        <v>153</v>
      </c>
      <c r="G214" s="30" t="s">
        <v>7</v>
      </c>
      <c r="H214" s="30"/>
    </row>
    <row r="215" spans="2:8" ht="12.75" hidden="1" x14ac:dyDescent="0.2">
      <c r="B215" s="29">
        <v>2007</v>
      </c>
      <c r="C215" s="29">
        <v>1</v>
      </c>
      <c r="D215" s="29">
        <v>2</v>
      </c>
      <c r="E215" s="29">
        <v>1</v>
      </c>
      <c r="F215" s="30" t="s">
        <v>57</v>
      </c>
      <c r="G215" s="30" t="s">
        <v>7</v>
      </c>
      <c r="H215" s="30"/>
    </row>
    <row r="216" spans="2:8" ht="12.75" hidden="1" x14ac:dyDescent="0.2">
      <c r="B216" s="29">
        <v>2007</v>
      </c>
      <c r="C216" s="29">
        <v>1</v>
      </c>
      <c r="D216" s="29">
        <v>2</v>
      </c>
      <c r="E216" s="29">
        <f t="shared" ref="E216:E219" si="97">E215+1</f>
        <v>2</v>
      </c>
      <c r="F216" s="30" t="s">
        <v>57</v>
      </c>
      <c r="G216" s="30" t="s">
        <v>7</v>
      </c>
      <c r="H216" s="30"/>
    </row>
    <row r="217" spans="2:8" ht="12.75" hidden="1" x14ac:dyDescent="0.2">
      <c r="B217" s="29">
        <v>2007</v>
      </c>
      <c r="C217" s="29">
        <v>1</v>
      </c>
      <c r="D217" s="29">
        <v>2</v>
      </c>
      <c r="E217" s="29">
        <f t="shared" si="97"/>
        <v>3</v>
      </c>
      <c r="F217" s="30" t="s">
        <v>57</v>
      </c>
      <c r="G217" s="30" t="s">
        <v>7</v>
      </c>
      <c r="H217" s="30"/>
    </row>
    <row r="218" spans="2:8" ht="12.75" hidden="1" x14ac:dyDescent="0.2">
      <c r="B218" s="29">
        <v>2007</v>
      </c>
      <c r="C218" s="29">
        <v>1</v>
      </c>
      <c r="D218" s="29">
        <v>2</v>
      </c>
      <c r="E218" s="29">
        <f t="shared" si="97"/>
        <v>4</v>
      </c>
      <c r="F218" s="30" t="s">
        <v>57</v>
      </c>
      <c r="G218" s="30" t="s">
        <v>7</v>
      </c>
      <c r="H218" s="30"/>
    </row>
    <row r="219" spans="2:8" ht="12.75" hidden="1" x14ac:dyDescent="0.2">
      <c r="B219" s="29">
        <v>2007</v>
      </c>
      <c r="C219" s="29">
        <v>1</v>
      </c>
      <c r="D219" s="29">
        <v>2</v>
      </c>
      <c r="E219" s="29">
        <f t="shared" si="97"/>
        <v>5</v>
      </c>
      <c r="F219" s="30" t="s">
        <v>57</v>
      </c>
      <c r="G219" s="30" t="s">
        <v>7</v>
      </c>
      <c r="H219" s="30"/>
    </row>
    <row r="220" spans="2:8" ht="12.75" hidden="1" x14ac:dyDescent="0.2">
      <c r="B220" s="29">
        <v>2007</v>
      </c>
      <c r="C220" s="29">
        <v>1</v>
      </c>
      <c r="D220" s="29">
        <v>2</v>
      </c>
      <c r="E220" s="29">
        <v>6</v>
      </c>
      <c r="F220" s="30" t="s">
        <v>58</v>
      </c>
      <c r="G220" s="30" t="s">
        <v>15</v>
      </c>
      <c r="H220" s="30" t="s">
        <v>144</v>
      </c>
    </row>
    <row r="221" spans="2:8" ht="12.75" hidden="1" x14ac:dyDescent="0.2">
      <c r="B221" s="29">
        <v>2007</v>
      </c>
      <c r="C221" s="29">
        <v>1</v>
      </c>
      <c r="D221" s="29">
        <v>2</v>
      </c>
      <c r="E221" s="29">
        <f t="shared" ref="E221:E224" si="98">E220+1</f>
        <v>7</v>
      </c>
      <c r="F221" s="30" t="str">
        <f t="shared" ref="F221:F224" si="99">F220</f>
        <v>Tocador de MP3</v>
      </c>
      <c r="G221" s="30" t="s">
        <v>15</v>
      </c>
      <c r="H221" s="30" t="s">
        <v>144</v>
      </c>
    </row>
    <row r="222" spans="2:8" ht="12.75" hidden="1" x14ac:dyDescent="0.2">
      <c r="B222" s="29">
        <v>2007</v>
      </c>
      <c r="C222" s="29">
        <v>1</v>
      </c>
      <c r="D222" s="29">
        <v>2</v>
      </c>
      <c r="E222" s="29">
        <f t="shared" si="98"/>
        <v>8</v>
      </c>
      <c r="F222" s="30" t="str">
        <f t="shared" si="99"/>
        <v>Tocador de MP3</v>
      </c>
      <c r="G222" s="30" t="s">
        <v>15</v>
      </c>
      <c r="H222" s="30" t="s">
        <v>144</v>
      </c>
    </row>
    <row r="223" spans="2:8" ht="12.75" hidden="1" x14ac:dyDescent="0.2">
      <c r="B223" s="29">
        <v>2007</v>
      </c>
      <c r="C223" s="29">
        <v>1</v>
      </c>
      <c r="D223" s="29">
        <v>2</v>
      </c>
      <c r="E223" s="29">
        <f t="shared" si="98"/>
        <v>9</v>
      </c>
      <c r="F223" s="30" t="str">
        <f t="shared" si="99"/>
        <v>Tocador de MP3</v>
      </c>
      <c r="G223" s="30" t="s">
        <v>15</v>
      </c>
      <c r="H223" s="30" t="s">
        <v>144</v>
      </c>
    </row>
    <row r="224" spans="2:8" ht="12.75" hidden="1" x14ac:dyDescent="0.2">
      <c r="B224" s="29">
        <v>2007</v>
      </c>
      <c r="C224" s="29">
        <v>1</v>
      </c>
      <c r="D224" s="29">
        <v>2</v>
      </c>
      <c r="E224" s="29">
        <f t="shared" si="98"/>
        <v>10</v>
      </c>
      <c r="F224" s="30" t="str">
        <f t="shared" si="99"/>
        <v>Tocador de MP3</v>
      </c>
      <c r="G224" s="30" t="s">
        <v>15</v>
      </c>
      <c r="H224" s="30" t="s">
        <v>144</v>
      </c>
    </row>
    <row r="225" spans="2:8" ht="12.75" hidden="1" x14ac:dyDescent="0.2">
      <c r="B225" s="29">
        <v>2007</v>
      </c>
      <c r="C225" s="29">
        <v>1</v>
      </c>
      <c r="D225" s="29">
        <v>2</v>
      </c>
      <c r="E225" s="29">
        <v>11</v>
      </c>
      <c r="F225" s="30" t="s">
        <v>157</v>
      </c>
      <c r="G225" s="30" t="s">
        <v>7</v>
      </c>
      <c r="H225" s="30"/>
    </row>
    <row r="226" spans="2:8" ht="12.75" hidden="1" x14ac:dyDescent="0.2">
      <c r="B226" s="29">
        <v>2007</v>
      </c>
      <c r="C226" s="29">
        <v>1</v>
      </c>
      <c r="D226" s="29">
        <v>2</v>
      </c>
      <c r="E226" s="29">
        <f t="shared" ref="E226:E229" si="100">E225+1</f>
        <v>12</v>
      </c>
      <c r="F226" s="30" t="s">
        <v>157</v>
      </c>
      <c r="G226" s="30" t="s">
        <v>7</v>
      </c>
      <c r="H226" s="30"/>
    </row>
    <row r="227" spans="2:8" ht="12.75" hidden="1" x14ac:dyDescent="0.2">
      <c r="B227" s="29">
        <v>2007</v>
      </c>
      <c r="C227" s="29">
        <v>1</v>
      </c>
      <c r="D227" s="29">
        <v>2</v>
      </c>
      <c r="E227" s="29">
        <f t="shared" si="100"/>
        <v>13</v>
      </c>
      <c r="F227" s="30" t="s">
        <v>157</v>
      </c>
      <c r="G227" s="30" t="s">
        <v>7</v>
      </c>
      <c r="H227" s="30"/>
    </row>
    <row r="228" spans="2:8" ht="12.75" hidden="1" x14ac:dyDescent="0.2">
      <c r="B228" s="29">
        <v>2007</v>
      </c>
      <c r="C228" s="29">
        <v>1</v>
      </c>
      <c r="D228" s="29">
        <v>2</v>
      </c>
      <c r="E228" s="29">
        <f t="shared" si="100"/>
        <v>14</v>
      </c>
      <c r="F228" s="30" t="s">
        <v>157</v>
      </c>
      <c r="G228" s="30" t="s">
        <v>7</v>
      </c>
      <c r="H228" s="30"/>
    </row>
    <row r="229" spans="2:8" ht="12.75" hidden="1" x14ac:dyDescent="0.2">
      <c r="B229" s="29">
        <v>2007</v>
      </c>
      <c r="C229" s="29">
        <v>1</v>
      </c>
      <c r="D229" s="29">
        <v>2</v>
      </c>
      <c r="E229" s="29">
        <f t="shared" si="100"/>
        <v>15</v>
      </c>
      <c r="F229" s="30" t="s">
        <v>157</v>
      </c>
      <c r="G229" s="30" t="s">
        <v>7</v>
      </c>
      <c r="H229" s="30"/>
    </row>
    <row r="230" spans="2:8" ht="12.75" hidden="1" x14ac:dyDescent="0.2">
      <c r="B230" s="29">
        <v>2007</v>
      </c>
      <c r="C230" s="29">
        <v>1</v>
      </c>
      <c r="D230" s="29">
        <v>2</v>
      </c>
      <c r="E230" s="29">
        <v>16</v>
      </c>
      <c r="F230" s="30" t="s">
        <v>158</v>
      </c>
      <c r="G230" s="30" t="s">
        <v>15</v>
      </c>
      <c r="H230" s="30" t="s">
        <v>127</v>
      </c>
    </row>
    <row r="231" spans="2:8" ht="12.75" hidden="1" x14ac:dyDescent="0.2">
      <c r="B231" s="29">
        <v>2007</v>
      </c>
      <c r="C231" s="29">
        <v>1</v>
      </c>
      <c r="D231" s="29">
        <v>2</v>
      </c>
      <c r="E231" s="29">
        <f t="shared" ref="E231:E234" si="101">E230+1</f>
        <v>17</v>
      </c>
      <c r="F231" s="30" t="s">
        <v>158</v>
      </c>
      <c r="G231" s="30" t="s">
        <v>15</v>
      </c>
      <c r="H231" s="30" t="s">
        <v>127</v>
      </c>
    </row>
    <row r="232" spans="2:8" ht="12.75" hidden="1" x14ac:dyDescent="0.2">
      <c r="B232" s="29">
        <v>2007</v>
      </c>
      <c r="C232" s="29">
        <v>1</v>
      </c>
      <c r="D232" s="29">
        <v>2</v>
      </c>
      <c r="E232" s="29">
        <f t="shared" si="101"/>
        <v>18</v>
      </c>
      <c r="F232" s="30" t="s">
        <v>158</v>
      </c>
      <c r="G232" s="30" t="s">
        <v>15</v>
      </c>
      <c r="H232" s="30" t="s">
        <v>127</v>
      </c>
    </row>
    <row r="233" spans="2:8" ht="12.75" hidden="1" x14ac:dyDescent="0.2">
      <c r="B233" s="29">
        <v>2007</v>
      </c>
      <c r="C233" s="29">
        <v>1</v>
      </c>
      <c r="D233" s="29">
        <v>2</v>
      </c>
      <c r="E233" s="29">
        <f t="shared" si="101"/>
        <v>19</v>
      </c>
      <c r="F233" s="30" t="s">
        <v>158</v>
      </c>
      <c r="G233" s="30" t="s">
        <v>15</v>
      </c>
      <c r="H233" s="30" t="s">
        <v>127</v>
      </c>
    </row>
    <row r="234" spans="2:8" ht="12.75" hidden="1" x14ac:dyDescent="0.2">
      <c r="B234" s="29">
        <v>2007</v>
      </c>
      <c r="C234" s="29">
        <v>1</v>
      </c>
      <c r="D234" s="29">
        <v>2</v>
      </c>
      <c r="E234" s="29">
        <f t="shared" si="101"/>
        <v>20</v>
      </c>
      <c r="F234" s="30" t="s">
        <v>158</v>
      </c>
      <c r="G234" s="30" t="s">
        <v>15</v>
      </c>
      <c r="H234" s="30" t="s">
        <v>127</v>
      </c>
    </row>
    <row r="235" spans="2:8" ht="12.75" hidden="1" x14ac:dyDescent="0.2">
      <c r="B235" s="29">
        <v>2007</v>
      </c>
      <c r="C235" s="29">
        <v>1</v>
      </c>
      <c r="D235" s="29">
        <v>2</v>
      </c>
      <c r="E235" s="29">
        <v>21</v>
      </c>
      <c r="F235" s="30" t="s">
        <v>61</v>
      </c>
      <c r="G235" s="30" t="s">
        <v>18</v>
      </c>
      <c r="H235" s="30" t="s">
        <v>114</v>
      </c>
    </row>
    <row r="236" spans="2:8" ht="12.75" hidden="1" x14ac:dyDescent="0.2">
      <c r="B236" s="29">
        <v>2007</v>
      </c>
      <c r="C236" s="29">
        <v>1</v>
      </c>
      <c r="D236" s="29">
        <v>2</v>
      </c>
      <c r="E236" s="29">
        <f t="shared" ref="E236:E239" si="102">E235+1</f>
        <v>22</v>
      </c>
      <c r="F236" s="30" t="s">
        <v>61</v>
      </c>
      <c r="G236" s="30" t="s">
        <v>18</v>
      </c>
      <c r="H236" s="30" t="s">
        <v>114</v>
      </c>
    </row>
    <row r="237" spans="2:8" ht="12.75" hidden="1" x14ac:dyDescent="0.2">
      <c r="B237" s="29">
        <v>2007</v>
      </c>
      <c r="C237" s="29">
        <v>1</v>
      </c>
      <c r="D237" s="29">
        <v>2</v>
      </c>
      <c r="E237" s="29">
        <f t="shared" si="102"/>
        <v>23</v>
      </c>
      <c r="F237" s="30" t="s">
        <v>61</v>
      </c>
      <c r="G237" s="30" t="s">
        <v>18</v>
      </c>
      <c r="H237" s="30" t="s">
        <v>114</v>
      </c>
    </row>
    <row r="238" spans="2:8" ht="12.75" hidden="1" x14ac:dyDescent="0.2">
      <c r="B238" s="29">
        <v>2007</v>
      </c>
      <c r="C238" s="29">
        <v>1</v>
      </c>
      <c r="D238" s="29">
        <v>2</v>
      </c>
      <c r="E238" s="29">
        <f t="shared" si="102"/>
        <v>24</v>
      </c>
      <c r="F238" s="30" t="s">
        <v>61</v>
      </c>
      <c r="G238" s="30" t="s">
        <v>18</v>
      </c>
      <c r="H238" s="30" t="s">
        <v>114</v>
      </c>
    </row>
    <row r="239" spans="2:8" ht="12.75" hidden="1" x14ac:dyDescent="0.2">
      <c r="B239" s="29">
        <v>2007</v>
      </c>
      <c r="C239" s="29">
        <v>1</v>
      </c>
      <c r="D239" s="29">
        <v>2</v>
      </c>
      <c r="E239" s="29">
        <f t="shared" si="102"/>
        <v>25</v>
      </c>
      <c r="F239" s="30" t="s">
        <v>61</v>
      </c>
      <c r="G239" s="30" t="s">
        <v>18</v>
      </c>
      <c r="H239" s="30" t="s">
        <v>114</v>
      </c>
    </row>
    <row r="240" spans="2:8" ht="12.75" hidden="1" x14ac:dyDescent="0.2">
      <c r="B240" s="29">
        <v>2007</v>
      </c>
      <c r="C240" s="29">
        <v>2</v>
      </c>
      <c r="D240" s="29">
        <v>2</v>
      </c>
      <c r="E240" s="29">
        <v>1</v>
      </c>
      <c r="F240" s="30" t="s">
        <v>57</v>
      </c>
      <c r="G240" s="30" t="s">
        <v>7</v>
      </c>
      <c r="H240" s="30"/>
    </row>
    <row r="241" spans="2:8" ht="12.75" hidden="1" x14ac:dyDescent="0.2">
      <c r="B241" s="29">
        <v>2007</v>
      </c>
      <c r="C241" s="29">
        <v>2</v>
      </c>
      <c r="D241" s="29">
        <v>2</v>
      </c>
      <c r="E241" s="29">
        <f t="shared" ref="E241:E244" si="103">E240+1</f>
        <v>2</v>
      </c>
      <c r="F241" s="30" t="s">
        <v>57</v>
      </c>
      <c r="G241" s="30" t="s">
        <v>7</v>
      </c>
      <c r="H241" s="30"/>
    </row>
    <row r="242" spans="2:8" ht="12.75" hidden="1" x14ac:dyDescent="0.2">
      <c r="B242" s="29">
        <v>2007</v>
      </c>
      <c r="C242" s="29">
        <v>2</v>
      </c>
      <c r="D242" s="29">
        <v>2</v>
      </c>
      <c r="E242" s="29">
        <f t="shared" si="103"/>
        <v>3</v>
      </c>
      <c r="F242" s="30" t="s">
        <v>57</v>
      </c>
      <c r="G242" s="30" t="s">
        <v>7</v>
      </c>
      <c r="H242" s="30"/>
    </row>
    <row r="243" spans="2:8" ht="12.75" hidden="1" x14ac:dyDescent="0.2">
      <c r="B243" s="29">
        <v>2007</v>
      </c>
      <c r="C243" s="29">
        <v>2</v>
      </c>
      <c r="D243" s="29">
        <v>2</v>
      </c>
      <c r="E243" s="29">
        <f t="shared" si="103"/>
        <v>4</v>
      </c>
      <c r="F243" s="30" t="s">
        <v>57</v>
      </c>
      <c r="G243" s="30" t="s">
        <v>7</v>
      </c>
      <c r="H243" s="30"/>
    </row>
    <row r="244" spans="2:8" ht="12.75" hidden="1" x14ac:dyDescent="0.2">
      <c r="B244" s="29">
        <v>2007</v>
      </c>
      <c r="C244" s="29">
        <v>2</v>
      </c>
      <c r="D244" s="29">
        <v>2</v>
      </c>
      <c r="E244" s="29">
        <f t="shared" si="103"/>
        <v>5</v>
      </c>
      <c r="F244" s="30" t="s">
        <v>57</v>
      </c>
      <c r="G244" s="30" t="s">
        <v>7</v>
      </c>
      <c r="H244" s="30"/>
    </row>
    <row r="245" spans="2:8" ht="12.75" hidden="1" x14ac:dyDescent="0.2">
      <c r="B245" s="29">
        <v>2007</v>
      </c>
      <c r="C245" s="29">
        <v>2</v>
      </c>
      <c r="D245" s="29">
        <v>2</v>
      </c>
      <c r="E245" s="29">
        <v>6</v>
      </c>
      <c r="F245" s="30" t="s">
        <v>62</v>
      </c>
      <c r="G245" s="30" t="s">
        <v>18</v>
      </c>
      <c r="H245" s="30" t="s">
        <v>114</v>
      </c>
    </row>
    <row r="246" spans="2:8" ht="12.75" hidden="1" x14ac:dyDescent="0.2">
      <c r="B246" s="29">
        <v>2007</v>
      </c>
      <c r="C246" s="29">
        <v>2</v>
      </c>
      <c r="D246" s="29">
        <v>2</v>
      </c>
      <c r="E246" s="29">
        <f t="shared" ref="E246:E249" si="104">E245+1</f>
        <v>7</v>
      </c>
      <c r="F246" s="30" t="str">
        <f t="shared" ref="F246:F249" si="105">F245</f>
        <v>Fórmula 1</v>
      </c>
      <c r="G246" s="30" t="s">
        <v>18</v>
      </c>
      <c r="H246" s="30" t="s">
        <v>114</v>
      </c>
    </row>
    <row r="247" spans="2:8" ht="12.75" hidden="1" x14ac:dyDescent="0.2">
      <c r="B247" s="29">
        <v>2007</v>
      </c>
      <c r="C247" s="29">
        <v>2</v>
      </c>
      <c r="D247" s="29">
        <v>2</v>
      </c>
      <c r="E247" s="29">
        <f t="shared" si="104"/>
        <v>8</v>
      </c>
      <c r="F247" s="30" t="str">
        <f t="shared" si="105"/>
        <v>Fórmula 1</v>
      </c>
      <c r="G247" s="30" t="s">
        <v>18</v>
      </c>
      <c r="H247" s="30" t="s">
        <v>114</v>
      </c>
    </row>
    <row r="248" spans="2:8" ht="12.75" hidden="1" x14ac:dyDescent="0.2">
      <c r="B248" s="29">
        <v>2007</v>
      </c>
      <c r="C248" s="29">
        <v>2</v>
      </c>
      <c r="D248" s="29">
        <v>2</v>
      </c>
      <c r="E248" s="29">
        <f t="shared" si="104"/>
        <v>9</v>
      </c>
      <c r="F248" s="30" t="str">
        <f t="shared" si="105"/>
        <v>Fórmula 1</v>
      </c>
      <c r="G248" s="30" t="s">
        <v>18</v>
      </c>
      <c r="H248" s="30" t="s">
        <v>114</v>
      </c>
    </row>
    <row r="249" spans="2:8" ht="12.75" hidden="1" x14ac:dyDescent="0.2">
      <c r="B249" s="29">
        <v>2007</v>
      </c>
      <c r="C249" s="29">
        <v>2</v>
      </c>
      <c r="D249" s="29">
        <v>2</v>
      </c>
      <c r="E249" s="29">
        <f t="shared" si="104"/>
        <v>10</v>
      </c>
      <c r="F249" s="30" t="str">
        <f t="shared" si="105"/>
        <v>Fórmula 1</v>
      </c>
      <c r="G249" s="30" t="s">
        <v>18</v>
      </c>
      <c r="H249" s="30" t="s">
        <v>114</v>
      </c>
    </row>
    <row r="250" spans="2:8" ht="12.75" hidden="1" x14ac:dyDescent="0.2">
      <c r="B250" s="29">
        <v>2007</v>
      </c>
      <c r="C250" s="29">
        <v>2</v>
      </c>
      <c r="D250" s="29">
        <v>2</v>
      </c>
      <c r="E250" s="29">
        <v>11</v>
      </c>
      <c r="F250" s="30" t="s">
        <v>63</v>
      </c>
      <c r="G250" s="30" t="s">
        <v>18</v>
      </c>
      <c r="H250" s="30" t="s">
        <v>111</v>
      </c>
    </row>
    <row r="251" spans="2:8" ht="12.75" hidden="1" x14ac:dyDescent="0.2">
      <c r="B251" s="29">
        <v>2007</v>
      </c>
      <c r="C251" s="29">
        <v>2</v>
      </c>
      <c r="D251" s="29">
        <v>2</v>
      </c>
      <c r="E251" s="29">
        <f t="shared" ref="E251:E254" si="106">E250+1</f>
        <v>12</v>
      </c>
      <c r="F251" s="30" t="s">
        <v>63</v>
      </c>
      <c r="G251" s="30" t="s">
        <v>18</v>
      </c>
      <c r="H251" s="30" t="s">
        <v>111</v>
      </c>
    </row>
    <row r="252" spans="2:8" ht="12.75" hidden="1" x14ac:dyDescent="0.2">
      <c r="B252" s="29">
        <v>2007</v>
      </c>
      <c r="C252" s="29">
        <v>2</v>
      </c>
      <c r="D252" s="29">
        <v>2</v>
      </c>
      <c r="E252" s="29">
        <f t="shared" si="106"/>
        <v>13</v>
      </c>
      <c r="F252" s="30" t="s">
        <v>63</v>
      </c>
      <c r="G252" s="30" t="s">
        <v>18</v>
      </c>
      <c r="H252" s="30" t="s">
        <v>111</v>
      </c>
    </row>
    <row r="253" spans="2:8" ht="12.75" hidden="1" x14ac:dyDescent="0.2">
      <c r="B253" s="29">
        <v>2007</v>
      </c>
      <c r="C253" s="29">
        <v>2</v>
      </c>
      <c r="D253" s="29">
        <v>2</v>
      </c>
      <c r="E253" s="29">
        <f t="shared" si="106"/>
        <v>14</v>
      </c>
      <c r="F253" s="30" t="s">
        <v>63</v>
      </c>
      <c r="G253" s="30" t="s">
        <v>18</v>
      </c>
      <c r="H253" s="30" t="s">
        <v>111</v>
      </c>
    </row>
    <row r="254" spans="2:8" ht="12.75" hidden="1" x14ac:dyDescent="0.2">
      <c r="B254" s="29">
        <v>2007</v>
      </c>
      <c r="C254" s="29">
        <v>2</v>
      </c>
      <c r="D254" s="29">
        <v>2</v>
      </c>
      <c r="E254" s="29">
        <f t="shared" si="106"/>
        <v>15</v>
      </c>
      <c r="F254" s="30" t="s">
        <v>63</v>
      </c>
      <c r="G254" s="30" t="s">
        <v>18</v>
      </c>
      <c r="H254" s="30" t="s">
        <v>111</v>
      </c>
    </row>
    <row r="255" spans="2:8" ht="12.75" hidden="1" x14ac:dyDescent="0.2">
      <c r="B255" s="29">
        <v>2007</v>
      </c>
      <c r="C255" s="29">
        <v>2</v>
      </c>
      <c r="D255" s="29">
        <v>2</v>
      </c>
      <c r="E255" s="29">
        <v>16</v>
      </c>
      <c r="F255" s="30" t="s">
        <v>64</v>
      </c>
      <c r="G255" s="30" t="s">
        <v>18</v>
      </c>
      <c r="H255" s="30" t="s">
        <v>114</v>
      </c>
    </row>
    <row r="256" spans="2:8" ht="12.75" hidden="1" x14ac:dyDescent="0.2">
      <c r="B256" s="29">
        <v>2007</v>
      </c>
      <c r="C256" s="29">
        <v>2</v>
      </c>
      <c r="D256" s="29">
        <v>2</v>
      </c>
      <c r="E256" s="29">
        <f t="shared" ref="E256:E259" si="107">E255+1</f>
        <v>17</v>
      </c>
      <c r="F256" s="30" t="s">
        <v>64</v>
      </c>
      <c r="G256" s="30" t="s">
        <v>18</v>
      </c>
      <c r="H256" s="30" t="s">
        <v>114</v>
      </c>
    </row>
    <row r="257" spans="2:8" ht="12.75" hidden="1" x14ac:dyDescent="0.2">
      <c r="B257" s="29">
        <v>2007</v>
      </c>
      <c r="C257" s="29">
        <v>2</v>
      </c>
      <c r="D257" s="29">
        <v>2</v>
      </c>
      <c r="E257" s="29">
        <f t="shared" si="107"/>
        <v>18</v>
      </c>
      <c r="F257" s="30" t="s">
        <v>64</v>
      </c>
      <c r="G257" s="30" t="s">
        <v>18</v>
      </c>
      <c r="H257" s="30" t="s">
        <v>114</v>
      </c>
    </row>
    <row r="258" spans="2:8" ht="12.75" hidden="1" x14ac:dyDescent="0.2">
      <c r="B258" s="29">
        <v>2007</v>
      </c>
      <c r="C258" s="29">
        <v>2</v>
      </c>
      <c r="D258" s="29">
        <v>2</v>
      </c>
      <c r="E258" s="29">
        <f t="shared" si="107"/>
        <v>19</v>
      </c>
      <c r="F258" s="30" t="s">
        <v>64</v>
      </c>
      <c r="G258" s="30" t="s">
        <v>18</v>
      </c>
      <c r="H258" s="30" t="s">
        <v>114</v>
      </c>
    </row>
    <row r="259" spans="2:8" ht="12.75" hidden="1" x14ac:dyDescent="0.2">
      <c r="B259" s="29">
        <v>2007</v>
      </c>
      <c r="C259" s="29">
        <v>2</v>
      </c>
      <c r="D259" s="29">
        <v>2</v>
      </c>
      <c r="E259" s="29">
        <f t="shared" si="107"/>
        <v>20</v>
      </c>
      <c r="F259" s="30" t="s">
        <v>64</v>
      </c>
      <c r="G259" s="30" t="s">
        <v>18</v>
      </c>
      <c r="H259" s="30" t="s">
        <v>114</v>
      </c>
    </row>
    <row r="260" spans="2:8" ht="12.75" hidden="1" x14ac:dyDescent="0.2">
      <c r="B260" s="29">
        <v>2007</v>
      </c>
      <c r="C260" s="29">
        <v>2</v>
      </c>
      <c r="D260" s="29">
        <v>2</v>
      </c>
      <c r="E260" s="29">
        <v>21</v>
      </c>
      <c r="F260" s="30" t="s">
        <v>158</v>
      </c>
      <c r="G260" s="30" t="s">
        <v>15</v>
      </c>
      <c r="H260" s="30" t="s">
        <v>127</v>
      </c>
    </row>
    <row r="261" spans="2:8" ht="12.75" hidden="1" x14ac:dyDescent="0.2">
      <c r="B261" s="29">
        <v>2007</v>
      </c>
      <c r="C261" s="29">
        <v>2</v>
      </c>
      <c r="D261" s="29">
        <v>2</v>
      </c>
      <c r="E261" s="29">
        <f t="shared" ref="E261:E264" si="108">E260+1</f>
        <v>22</v>
      </c>
      <c r="F261" s="30" t="s">
        <v>158</v>
      </c>
      <c r="G261" s="30" t="s">
        <v>15</v>
      </c>
      <c r="H261" s="30" t="s">
        <v>127</v>
      </c>
    </row>
    <row r="262" spans="2:8" ht="12.75" hidden="1" x14ac:dyDescent="0.2">
      <c r="B262" s="29">
        <v>2007</v>
      </c>
      <c r="C262" s="29">
        <v>2</v>
      </c>
      <c r="D262" s="29">
        <v>2</v>
      </c>
      <c r="E262" s="29">
        <f t="shared" si="108"/>
        <v>23</v>
      </c>
      <c r="F262" s="30" t="s">
        <v>158</v>
      </c>
      <c r="G262" s="30" t="s">
        <v>15</v>
      </c>
      <c r="H262" s="30" t="s">
        <v>127</v>
      </c>
    </row>
    <row r="263" spans="2:8" ht="12.75" hidden="1" x14ac:dyDescent="0.2">
      <c r="B263" s="29">
        <v>2007</v>
      </c>
      <c r="C263" s="29">
        <v>2</v>
      </c>
      <c r="D263" s="29">
        <v>2</v>
      </c>
      <c r="E263" s="29">
        <f t="shared" si="108"/>
        <v>24</v>
      </c>
      <c r="F263" s="30" t="s">
        <v>158</v>
      </c>
      <c r="G263" s="30" t="s">
        <v>15</v>
      </c>
      <c r="H263" s="30" t="s">
        <v>127</v>
      </c>
    </row>
    <row r="264" spans="2:8" ht="12.75" hidden="1" x14ac:dyDescent="0.2">
      <c r="B264" s="29">
        <v>2007</v>
      </c>
      <c r="C264" s="29">
        <v>2</v>
      </c>
      <c r="D264" s="29">
        <v>2</v>
      </c>
      <c r="E264" s="29">
        <f t="shared" si="108"/>
        <v>25</v>
      </c>
      <c r="F264" s="30" t="s">
        <v>158</v>
      </c>
      <c r="G264" s="30" t="s">
        <v>15</v>
      </c>
      <c r="H264" s="30" t="s">
        <v>127</v>
      </c>
    </row>
    <row r="265" spans="2:8" ht="12.75" hidden="1" x14ac:dyDescent="0.2">
      <c r="B265" s="29">
        <v>2008</v>
      </c>
      <c r="C265" s="29">
        <v>1</v>
      </c>
      <c r="D265" s="29">
        <v>1</v>
      </c>
      <c r="E265" s="29">
        <v>1</v>
      </c>
      <c r="F265" s="30" t="s">
        <v>159</v>
      </c>
      <c r="G265" s="30" t="s">
        <v>18</v>
      </c>
      <c r="H265" s="30" t="s">
        <v>111</v>
      </c>
    </row>
    <row r="266" spans="2:8" ht="12.75" hidden="1" x14ac:dyDescent="0.2">
      <c r="B266" s="29">
        <v>2008</v>
      </c>
      <c r="C266" s="29">
        <v>1</v>
      </c>
      <c r="D266" s="29">
        <v>1</v>
      </c>
      <c r="E266" s="29">
        <f t="shared" ref="E266:E269" si="109">E265+1</f>
        <v>2</v>
      </c>
      <c r="F266" s="30" t="s">
        <v>159</v>
      </c>
      <c r="G266" s="30" t="s">
        <v>18</v>
      </c>
      <c r="H266" s="30" t="s">
        <v>111</v>
      </c>
    </row>
    <row r="267" spans="2:8" ht="12.75" hidden="1" x14ac:dyDescent="0.2">
      <c r="B267" s="29">
        <v>2008</v>
      </c>
      <c r="C267" s="29">
        <v>1</v>
      </c>
      <c r="D267" s="29">
        <v>1</v>
      </c>
      <c r="E267" s="29">
        <f t="shared" si="109"/>
        <v>3</v>
      </c>
      <c r="F267" s="30" t="s">
        <v>159</v>
      </c>
      <c r="G267" s="30" t="s">
        <v>18</v>
      </c>
      <c r="H267" s="30" t="s">
        <v>111</v>
      </c>
    </row>
    <row r="268" spans="2:8" ht="12.75" hidden="1" x14ac:dyDescent="0.2">
      <c r="B268" s="29">
        <v>2008</v>
      </c>
      <c r="C268" s="29">
        <v>1</v>
      </c>
      <c r="D268" s="29">
        <v>1</v>
      </c>
      <c r="E268" s="29">
        <f t="shared" si="109"/>
        <v>4</v>
      </c>
      <c r="F268" s="30" t="s">
        <v>159</v>
      </c>
      <c r="G268" s="30" t="s">
        <v>18</v>
      </c>
      <c r="H268" s="30" t="s">
        <v>111</v>
      </c>
    </row>
    <row r="269" spans="2:8" ht="12.75" hidden="1" x14ac:dyDescent="0.2">
      <c r="B269" s="29">
        <v>2008</v>
      </c>
      <c r="C269" s="29">
        <v>1</v>
      </c>
      <c r="D269" s="29">
        <v>1</v>
      </c>
      <c r="E269" s="29">
        <f t="shared" si="109"/>
        <v>5</v>
      </c>
      <c r="F269" s="30" t="s">
        <v>159</v>
      </c>
      <c r="G269" s="30" t="s">
        <v>18</v>
      </c>
      <c r="H269" s="30" t="s">
        <v>111</v>
      </c>
    </row>
    <row r="270" spans="2:8" ht="12.75" hidden="1" x14ac:dyDescent="0.2">
      <c r="B270" s="29">
        <v>2008</v>
      </c>
      <c r="C270" s="29">
        <v>1</v>
      </c>
      <c r="D270" s="29">
        <v>1</v>
      </c>
      <c r="E270" s="29">
        <v>6</v>
      </c>
      <c r="F270" s="30" t="s">
        <v>160</v>
      </c>
      <c r="G270" s="30" t="s">
        <v>18</v>
      </c>
      <c r="H270" s="30" t="s">
        <v>128</v>
      </c>
    </row>
    <row r="271" spans="2:8" ht="12.75" hidden="1" x14ac:dyDescent="0.2">
      <c r="B271" s="29">
        <v>2008</v>
      </c>
      <c r="C271" s="29">
        <v>1</v>
      </c>
      <c r="D271" s="29">
        <v>1</v>
      </c>
      <c r="E271" s="29">
        <f t="shared" ref="E271:E274" si="110">E270+1</f>
        <v>7</v>
      </c>
      <c r="F271" s="30" t="s">
        <v>160</v>
      </c>
      <c r="G271" s="30" t="s">
        <v>18</v>
      </c>
      <c r="H271" s="30" t="s">
        <v>128</v>
      </c>
    </row>
    <row r="272" spans="2:8" ht="12.75" hidden="1" x14ac:dyDescent="0.2">
      <c r="B272" s="29">
        <v>2008</v>
      </c>
      <c r="C272" s="29">
        <v>1</v>
      </c>
      <c r="D272" s="29">
        <v>1</v>
      </c>
      <c r="E272" s="29">
        <f t="shared" si="110"/>
        <v>8</v>
      </c>
      <c r="F272" s="30" t="s">
        <v>160</v>
      </c>
      <c r="G272" s="30" t="s">
        <v>18</v>
      </c>
      <c r="H272" s="30" t="s">
        <v>128</v>
      </c>
    </row>
    <row r="273" spans="2:8" ht="12.75" hidden="1" x14ac:dyDescent="0.2">
      <c r="B273" s="29">
        <v>2008</v>
      </c>
      <c r="C273" s="29">
        <v>1</v>
      </c>
      <c r="D273" s="29">
        <v>1</v>
      </c>
      <c r="E273" s="29">
        <f t="shared" si="110"/>
        <v>9</v>
      </c>
      <c r="F273" s="30" t="s">
        <v>160</v>
      </c>
      <c r="G273" s="30" t="s">
        <v>18</v>
      </c>
      <c r="H273" s="30" t="s">
        <v>128</v>
      </c>
    </row>
    <row r="274" spans="2:8" ht="12.75" hidden="1" x14ac:dyDescent="0.2">
      <c r="B274" s="29">
        <v>2008</v>
      </c>
      <c r="C274" s="29">
        <v>1</v>
      </c>
      <c r="D274" s="29">
        <v>1</v>
      </c>
      <c r="E274" s="29">
        <f t="shared" si="110"/>
        <v>10</v>
      </c>
      <c r="F274" s="30" t="s">
        <v>160</v>
      </c>
      <c r="G274" s="30" t="s">
        <v>18</v>
      </c>
      <c r="H274" s="30" t="s">
        <v>128</v>
      </c>
    </row>
    <row r="275" spans="2:8" ht="12.75" hidden="1" x14ac:dyDescent="0.2">
      <c r="B275" s="29">
        <v>2008</v>
      </c>
      <c r="C275" s="29">
        <v>1</v>
      </c>
      <c r="D275" s="29">
        <v>1</v>
      </c>
      <c r="E275" s="29">
        <v>11</v>
      </c>
      <c r="F275" s="30" t="s">
        <v>161</v>
      </c>
      <c r="G275" s="30" t="s">
        <v>18</v>
      </c>
      <c r="H275" s="30" t="s">
        <v>111</v>
      </c>
    </row>
    <row r="276" spans="2:8" ht="12.75" hidden="1" x14ac:dyDescent="0.2">
      <c r="B276" s="29">
        <v>2008</v>
      </c>
      <c r="C276" s="29">
        <v>1</v>
      </c>
      <c r="D276" s="29">
        <v>1</v>
      </c>
      <c r="E276" s="29">
        <f t="shared" ref="E276:E279" si="111">E275+1</f>
        <v>12</v>
      </c>
      <c r="F276" s="30" t="s">
        <v>161</v>
      </c>
      <c r="G276" s="30" t="s">
        <v>18</v>
      </c>
      <c r="H276" s="30" t="s">
        <v>111</v>
      </c>
    </row>
    <row r="277" spans="2:8" ht="12.75" hidden="1" x14ac:dyDescent="0.2">
      <c r="B277" s="29">
        <v>2008</v>
      </c>
      <c r="C277" s="29">
        <v>1</v>
      </c>
      <c r="D277" s="29">
        <v>1</v>
      </c>
      <c r="E277" s="29">
        <f t="shared" si="111"/>
        <v>13</v>
      </c>
      <c r="F277" s="30" t="s">
        <v>161</v>
      </c>
      <c r="G277" s="30" t="s">
        <v>18</v>
      </c>
      <c r="H277" s="30" t="s">
        <v>111</v>
      </c>
    </row>
    <row r="278" spans="2:8" ht="12.75" hidden="1" x14ac:dyDescent="0.2">
      <c r="B278" s="29">
        <v>2008</v>
      </c>
      <c r="C278" s="29">
        <v>1</v>
      </c>
      <c r="D278" s="29">
        <v>1</v>
      </c>
      <c r="E278" s="29">
        <f t="shared" si="111"/>
        <v>14</v>
      </c>
      <c r="F278" s="30" t="s">
        <v>161</v>
      </c>
      <c r="G278" s="30" t="s">
        <v>18</v>
      </c>
      <c r="H278" s="30" t="s">
        <v>111</v>
      </c>
    </row>
    <row r="279" spans="2:8" ht="12.75" hidden="1" x14ac:dyDescent="0.2">
      <c r="B279" s="29">
        <v>2008</v>
      </c>
      <c r="C279" s="29">
        <v>1</v>
      </c>
      <c r="D279" s="29">
        <v>1</v>
      </c>
      <c r="E279" s="29">
        <f t="shared" si="111"/>
        <v>15</v>
      </c>
      <c r="F279" s="30" t="s">
        <v>161</v>
      </c>
      <c r="G279" s="30" t="s">
        <v>18</v>
      </c>
      <c r="H279" s="30" t="s">
        <v>111</v>
      </c>
    </row>
    <row r="280" spans="2:8" ht="12.75" hidden="1" x14ac:dyDescent="0.2">
      <c r="B280" s="29">
        <v>2008</v>
      </c>
      <c r="C280" s="29">
        <v>1</v>
      </c>
      <c r="D280" s="29">
        <v>1</v>
      </c>
      <c r="E280" s="29">
        <v>16</v>
      </c>
      <c r="F280" s="30" t="s">
        <v>162</v>
      </c>
      <c r="G280" s="30" t="s">
        <v>18</v>
      </c>
      <c r="H280" s="30" t="s">
        <v>114</v>
      </c>
    </row>
    <row r="281" spans="2:8" ht="12.75" hidden="1" x14ac:dyDescent="0.2">
      <c r="B281" s="29">
        <v>2008</v>
      </c>
      <c r="C281" s="29">
        <v>1</v>
      </c>
      <c r="D281" s="29">
        <v>1</v>
      </c>
      <c r="E281" s="29">
        <f t="shared" ref="E281:E284" si="112">E280+1</f>
        <v>17</v>
      </c>
      <c r="F281" s="30" t="s">
        <v>162</v>
      </c>
      <c r="G281" s="30" t="s">
        <v>18</v>
      </c>
      <c r="H281" s="30" t="s">
        <v>114</v>
      </c>
    </row>
    <row r="282" spans="2:8" ht="12.75" hidden="1" x14ac:dyDescent="0.2">
      <c r="B282" s="29">
        <v>2008</v>
      </c>
      <c r="C282" s="29">
        <v>1</v>
      </c>
      <c r="D282" s="29">
        <v>1</v>
      </c>
      <c r="E282" s="29">
        <f t="shared" si="112"/>
        <v>18</v>
      </c>
      <c r="F282" s="30" t="s">
        <v>162</v>
      </c>
      <c r="G282" s="30" t="s">
        <v>18</v>
      </c>
      <c r="H282" s="30" t="s">
        <v>114</v>
      </c>
    </row>
    <row r="283" spans="2:8" ht="12.75" hidden="1" x14ac:dyDescent="0.2">
      <c r="B283" s="29">
        <v>2008</v>
      </c>
      <c r="C283" s="29">
        <v>1</v>
      </c>
      <c r="D283" s="29">
        <v>1</v>
      </c>
      <c r="E283" s="29">
        <f t="shared" si="112"/>
        <v>19</v>
      </c>
      <c r="F283" s="30" t="s">
        <v>162</v>
      </c>
      <c r="G283" s="30" t="s">
        <v>18</v>
      </c>
      <c r="H283" s="30" t="s">
        <v>114</v>
      </c>
    </row>
    <row r="284" spans="2:8" ht="12.75" hidden="1" x14ac:dyDescent="0.2">
      <c r="B284" s="29">
        <v>2008</v>
      </c>
      <c r="C284" s="29">
        <v>1</v>
      </c>
      <c r="D284" s="29">
        <v>1</v>
      </c>
      <c r="E284" s="29">
        <f t="shared" si="112"/>
        <v>20</v>
      </c>
      <c r="F284" s="30" t="s">
        <v>162</v>
      </c>
      <c r="G284" s="30" t="s">
        <v>18</v>
      </c>
      <c r="H284" s="30" t="s">
        <v>114</v>
      </c>
    </row>
    <row r="285" spans="2:8" ht="12.75" hidden="1" x14ac:dyDescent="0.2">
      <c r="B285" s="29">
        <v>2008</v>
      </c>
      <c r="C285" s="29">
        <v>2</v>
      </c>
      <c r="D285" s="29">
        <v>1</v>
      </c>
      <c r="E285" s="29">
        <v>1</v>
      </c>
      <c r="F285" s="30" t="s">
        <v>159</v>
      </c>
      <c r="G285" s="30" t="s">
        <v>18</v>
      </c>
      <c r="H285" s="30" t="s">
        <v>111</v>
      </c>
    </row>
    <row r="286" spans="2:8" ht="12.75" hidden="1" x14ac:dyDescent="0.2">
      <c r="B286" s="29">
        <v>2008</v>
      </c>
      <c r="C286" s="29">
        <v>2</v>
      </c>
      <c r="D286" s="29">
        <v>1</v>
      </c>
      <c r="E286" s="29">
        <f t="shared" ref="E286:E289" si="113">E285+1</f>
        <v>2</v>
      </c>
      <c r="F286" s="30" t="s">
        <v>159</v>
      </c>
      <c r="G286" s="30" t="s">
        <v>18</v>
      </c>
      <c r="H286" s="30" t="s">
        <v>111</v>
      </c>
    </row>
    <row r="287" spans="2:8" ht="12.75" hidden="1" x14ac:dyDescent="0.2">
      <c r="B287" s="29">
        <v>2008</v>
      </c>
      <c r="C287" s="29">
        <v>2</v>
      </c>
      <c r="D287" s="29">
        <v>1</v>
      </c>
      <c r="E287" s="29">
        <f t="shared" si="113"/>
        <v>3</v>
      </c>
      <c r="F287" s="30" t="s">
        <v>159</v>
      </c>
      <c r="G287" s="30" t="s">
        <v>18</v>
      </c>
      <c r="H287" s="30" t="s">
        <v>111</v>
      </c>
    </row>
    <row r="288" spans="2:8" ht="12.75" hidden="1" x14ac:dyDescent="0.2">
      <c r="B288" s="29">
        <v>2008</v>
      </c>
      <c r="C288" s="29">
        <v>2</v>
      </c>
      <c r="D288" s="29">
        <v>1</v>
      </c>
      <c r="E288" s="29">
        <f t="shared" si="113"/>
        <v>4</v>
      </c>
      <c r="F288" s="30" t="s">
        <v>159</v>
      </c>
      <c r="G288" s="30" t="s">
        <v>18</v>
      </c>
      <c r="H288" s="30" t="s">
        <v>111</v>
      </c>
    </row>
    <row r="289" spans="2:8" ht="12.75" hidden="1" x14ac:dyDescent="0.2">
      <c r="B289" s="29">
        <v>2008</v>
      </c>
      <c r="C289" s="29">
        <v>2</v>
      </c>
      <c r="D289" s="29">
        <v>1</v>
      </c>
      <c r="E289" s="29">
        <f t="shared" si="113"/>
        <v>5</v>
      </c>
      <c r="F289" s="30" t="s">
        <v>159</v>
      </c>
      <c r="G289" s="30" t="s">
        <v>18</v>
      </c>
      <c r="H289" s="30" t="s">
        <v>111</v>
      </c>
    </row>
    <row r="290" spans="2:8" ht="12.75" hidden="1" x14ac:dyDescent="0.2">
      <c r="B290" s="29">
        <v>2008</v>
      </c>
      <c r="C290" s="29">
        <v>2</v>
      </c>
      <c r="D290" s="29">
        <v>1</v>
      </c>
      <c r="E290" s="29">
        <v>6</v>
      </c>
      <c r="F290" s="30" t="s">
        <v>163</v>
      </c>
      <c r="G290" s="30" t="s">
        <v>15</v>
      </c>
      <c r="H290" s="30" t="s">
        <v>144</v>
      </c>
    </row>
    <row r="291" spans="2:8" ht="12.75" hidden="1" x14ac:dyDescent="0.2">
      <c r="B291" s="29">
        <v>2008</v>
      </c>
      <c r="C291" s="29">
        <v>2</v>
      </c>
      <c r="D291" s="29">
        <v>1</v>
      </c>
      <c r="E291" s="29">
        <f t="shared" ref="E291:E294" si="114">E290+1</f>
        <v>7</v>
      </c>
      <c r="F291" s="30" t="s">
        <v>163</v>
      </c>
      <c r="G291" s="30" t="s">
        <v>15</v>
      </c>
      <c r="H291" s="30" t="s">
        <v>144</v>
      </c>
    </row>
    <row r="292" spans="2:8" ht="12.75" hidden="1" x14ac:dyDescent="0.2">
      <c r="B292" s="29">
        <v>2008</v>
      </c>
      <c r="C292" s="29">
        <v>2</v>
      </c>
      <c r="D292" s="29">
        <v>1</v>
      </c>
      <c r="E292" s="29">
        <f t="shared" si="114"/>
        <v>8</v>
      </c>
      <c r="F292" s="30" t="s">
        <v>163</v>
      </c>
      <c r="G292" s="30" t="s">
        <v>15</v>
      </c>
      <c r="H292" s="30" t="s">
        <v>144</v>
      </c>
    </row>
    <row r="293" spans="2:8" ht="12.75" hidden="1" x14ac:dyDescent="0.2">
      <c r="B293" s="29">
        <v>2008</v>
      </c>
      <c r="C293" s="29">
        <v>2</v>
      </c>
      <c r="D293" s="29">
        <v>1</v>
      </c>
      <c r="E293" s="29">
        <f t="shared" si="114"/>
        <v>9</v>
      </c>
      <c r="F293" s="30" t="s">
        <v>163</v>
      </c>
      <c r="G293" s="30" t="s">
        <v>15</v>
      </c>
      <c r="H293" s="30" t="s">
        <v>144</v>
      </c>
    </row>
    <row r="294" spans="2:8" ht="12.75" hidden="1" x14ac:dyDescent="0.2">
      <c r="B294" s="29">
        <v>2008</v>
      </c>
      <c r="C294" s="29">
        <v>2</v>
      </c>
      <c r="D294" s="29">
        <v>1</v>
      </c>
      <c r="E294" s="29">
        <f t="shared" si="114"/>
        <v>10</v>
      </c>
      <c r="F294" s="30" t="s">
        <v>163</v>
      </c>
      <c r="G294" s="30" t="s">
        <v>15</v>
      </c>
      <c r="H294" s="30" t="s">
        <v>144</v>
      </c>
    </row>
    <row r="295" spans="2:8" ht="12.75" hidden="1" x14ac:dyDescent="0.2">
      <c r="B295" s="29">
        <v>2008</v>
      </c>
      <c r="C295" s="29">
        <v>2</v>
      </c>
      <c r="D295" s="29">
        <v>1</v>
      </c>
      <c r="E295" s="29">
        <v>11</v>
      </c>
      <c r="F295" s="30" t="s">
        <v>164</v>
      </c>
      <c r="G295" s="30" t="s">
        <v>15</v>
      </c>
      <c r="H295" s="30" t="s">
        <v>133</v>
      </c>
    </row>
    <row r="296" spans="2:8" ht="12.75" hidden="1" x14ac:dyDescent="0.2">
      <c r="B296" s="29">
        <v>2008</v>
      </c>
      <c r="C296" s="29">
        <v>2</v>
      </c>
      <c r="D296" s="29">
        <v>1</v>
      </c>
      <c r="E296" s="29">
        <f t="shared" ref="E296:E299" si="115">E295+1</f>
        <v>12</v>
      </c>
      <c r="F296" s="30" t="s">
        <v>164</v>
      </c>
      <c r="G296" s="30" t="s">
        <v>15</v>
      </c>
      <c r="H296" s="30" t="s">
        <v>133</v>
      </c>
    </row>
    <row r="297" spans="2:8" ht="12.75" hidden="1" x14ac:dyDescent="0.2">
      <c r="B297" s="29">
        <v>2008</v>
      </c>
      <c r="C297" s="29">
        <v>2</v>
      </c>
      <c r="D297" s="29">
        <v>1</v>
      </c>
      <c r="E297" s="29">
        <f t="shared" si="115"/>
        <v>13</v>
      </c>
      <c r="F297" s="30" t="s">
        <v>164</v>
      </c>
      <c r="G297" s="30" t="s">
        <v>15</v>
      </c>
      <c r="H297" s="30" t="s">
        <v>133</v>
      </c>
    </row>
    <row r="298" spans="2:8" ht="12.75" hidden="1" x14ac:dyDescent="0.2">
      <c r="B298" s="29">
        <v>2008</v>
      </c>
      <c r="C298" s="29">
        <v>2</v>
      </c>
      <c r="D298" s="29">
        <v>1</v>
      </c>
      <c r="E298" s="29">
        <f t="shared" si="115"/>
        <v>14</v>
      </c>
      <c r="F298" s="30" t="s">
        <v>164</v>
      </c>
      <c r="G298" s="30" t="s">
        <v>15</v>
      </c>
      <c r="H298" s="30" t="s">
        <v>133</v>
      </c>
    </row>
    <row r="299" spans="2:8" ht="12.75" hidden="1" x14ac:dyDescent="0.2">
      <c r="B299" s="29">
        <v>2008</v>
      </c>
      <c r="C299" s="29">
        <v>2</v>
      </c>
      <c r="D299" s="29">
        <v>1</v>
      </c>
      <c r="E299" s="29">
        <f t="shared" si="115"/>
        <v>15</v>
      </c>
      <c r="F299" s="30" t="s">
        <v>164</v>
      </c>
      <c r="G299" s="30" t="s">
        <v>15</v>
      </c>
      <c r="H299" s="30" t="s">
        <v>133</v>
      </c>
    </row>
    <row r="300" spans="2:8" ht="12.75" hidden="1" x14ac:dyDescent="0.2">
      <c r="B300" s="29">
        <v>2008</v>
      </c>
      <c r="C300" s="29">
        <v>2</v>
      </c>
      <c r="D300" s="29">
        <v>1</v>
      </c>
      <c r="E300" s="29">
        <v>16</v>
      </c>
      <c r="F300" s="30" t="s">
        <v>165</v>
      </c>
      <c r="G300" s="30" t="s">
        <v>18</v>
      </c>
      <c r="H300" s="30" t="s">
        <v>114</v>
      </c>
    </row>
    <row r="301" spans="2:8" ht="12.75" hidden="1" x14ac:dyDescent="0.2">
      <c r="B301" s="29">
        <v>2008</v>
      </c>
      <c r="C301" s="29">
        <v>2</v>
      </c>
      <c r="D301" s="29">
        <v>1</v>
      </c>
      <c r="E301" s="29">
        <f t="shared" ref="E301:E304" si="116">E300+1</f>
        <v>17</v>
      </c>
      <c r="F301" s="30" t="s">
        <v>165</v>
      </c>
      <c r="G301" s="30" t="s">
        <v>18</v>
      </c>
      <c r="H301" s="30" t="s">
        <v>114</v>
      </c>
    </row>
    <row r="302" spans="2:8" ht="12.75" hidden="1" x14ac:dyDescent="0.2">
      <c r="B302" s="29">
        <v>2008</v>
      </c>
      <c r="C302" s="29">
        <v>2</v>
      </c>
      <c r="D302" s="29">
        <v>1</v>
      </c>
      <c r="E302" s="29">
        <f t="shared" si="116"/>
        <v>18</v>
      </c>
      <c r="F302" s="30" t="s">
        <v>165</v>
      </c>
      <c r="G302" s="30" t="s">
        <v>18</v>
      </c>
      <c r="H302" s="30" t="s">
        <v>114</v>
      </c>
    </row>
    <row r="303" spans="2:8" ht="12.75" hidden="1" x14ac:dyDescent="0.2">
      <c r="B303" s="29">
        <v>2008</v>
      </c>
      <c r="C303" s="29">
        <v>2</v>
      </c>
      <c r="D303" s="29">
        <v>1</v>
      </c>
      <c r="E303" s="29">
        <f t="shared" si="116"/>
        <v>19</v>
      </c>
      <c r="F303" s="30" t="s">
        <v>165</v>
      </c>
      <c r="G303" s="30" t="s">
        <v>18</v>
      </c>
      <c r="H303" s="30" t="s">
        <v>114</v>
      </c>
    </row>
    <row r="304" spans="2:8" ht="12.75" hidden="1" x14ac:dyDescent="0.2">
      <c r="B304" s="29">
        <v>2008</v>
      </c>
      <c r="C304" s="29">
        <v>2</v>
      </c>
      <c r="D304" s="29">
        <v>1</v>
      </c>
      <c r="E304" s="29">
        <f t="shared" si="116"/>
        <v>20</v>
      </c>
      <c r="F304" s="30" t="s">
        <v>165</v>
      </c>
      <c r="G304" s="30" t="s">
        <v>18</v>
      </c>
      <c r="H304" s="30" t="s">
        <v>114</v>
      </c>
    </row>
    <row r="305" spans="2:8" ht="12.75" hidden="1" x14ac:dyDescent="0.2">
      <c r="B305" s="29">
        <v>2008</v>
      </c>
      <c r="C305" s="29">
        <v>1</v>
      </c>
      <c r="D305" s="29">
        <v>2</v>
      </c>
      <c r="E305" s="29">
        <v>1</v>
      </c>
      <c r="F305" s="30" t="s">
        <v>72</v>
      </c>
      <c r="G305" s="30" t="s">
        <v>18</v>
      </c>
      <c r="H305" s="30" t="s">
        <v>114</v>
      </c>
    </row>
    <row r="306" spans="2:8" ht="12.75" hidden="1" x14ac:dyDescent="0.2">
      <c r="B306" s="29">
        <v>2008</v>
      </c>
      <c r="C306" s="29">
        <v>1</v>
      </c>
      <c r="D306" s="29">
        <v>2</v>
      </c>
      <c r="E306" s="29">
        <f t="shared" ref="E306:E309" si="117">E305+1</f>
        <v>2</v>
      </c>
      <c r="F306" s="30" t="s">
        <v>72</v>
      </c>
      <c r="G306" s="30" t="s">
        <v>18</v>
      </c>
      <c r="H306" s="30" t="s">
        <v>114</v>
      </c>
    </row>
    <row r="307" spans="2:8" ht="12.75" hidden="1" x14ac:dyDescent="0.2">
      <c r="B307" s="29">
        <v>2008</v>
      </c>
      <c r="C307" s="29">
        <v>1</v>
      </c>
      <c r="D307" s="29">
        <v>2</v>
      </c>
      <c r="E307" s="29">
        <f t="shared" si="117"/>
        <v>3</v>
      </c>
      <c r="F307" s="30" t="s">
        <v>72</v>
      </c>
      <c r="G307" s="30" t="s">
        <v>18</v>
      </c>
      <c r="H307" s="30" t="s">
        <v>114</v>
      </c>
    </row>
    <row r="308" spans="2:8" ht="12.75" hidden="1" x14ac:dyDescent="0.2">
      <c r="B308" s="29">
        <v>2008</v>
      </c>
      <c r="C308" s="29">
        <v>1</v>
      </c>
      <c r="D308" s="29">
        <v>2</v>
      </c>
      <c r="E308" s="29">
        <f t="shared" si="117"/>
        <v>4</v>
      </c>
      <c r="F308" s="30" t="s">
        <v>72</v>
      </c>
      <c r="G308" s="30" t="s">
        <v>18</v>
      </c>
      <c r="H308" s="30" t="s">
        <v>114</v>
      </c>
    </row>
    <row r="309" spans="2:8" ht="12.75" hidden="1" x14ac:dyDescent="0.2">
      <c r="B309" s="29">
        <v>2008</v>
      </c>
      <c r="C309" s="29">
        <v>1</v>
      </c>
      <c r="D309" s="29">
        <v>2</v>
      </c>
      <c r="E309" s="29">
        <f t="shared" si="117"/>
        <v>5</v>
      </c>
      <c r="F309" s="30" t="s">
        <v>72</v>
      </c>
      <c r="G309" s="30" t="s">
        <v>18</v>
      </c>
      <c r="H309" s="30" t="s">
        <v>114</v>
      </c>
    </row>
    <row r="310" spans="2:8" ht="12.75" hidden="1" x14ac:dyDescent="0.2">
      <c r="B310" s="29">
        <v>2008</v>
      </c>
      <c r="C310" s="29">
        <v>1</v>
      </c>
      <c r="D310" s="29">
        <v>2</v>
      </c>
      <c r="E310" s="29">
        <v>6</v>
      </c>
      <c r="F310" s="30" t="s">
        <v>166</v>
      </c>
      <c r="G310" s="30" t="s">
        <v>135</v>
      </c>
      <c r="H310" s="30"/>
    </row>
    <row r="311" spans="2:8" ht="12.75" hidden="1" x14ac:dyDescent="0.2">
      <c r="B311" s="29">
        <v>2008</v>
      </c>
      <c r="C311" s="29">
        <v>1</v>
      </c>
      <c r="D311" s="29">
        <v>2</v>
      </c>
      <c r="E311" s="29">
        <f t="shared" ref="E311:E314" si="118">E310+1</f>
        <v>7</v>
      </c>
      <c r="F311" s="30" t="s">
        <v>166</v>
      </c>
      <c r="G311" s="30" t="s">
        <v>135</v>
      </c>
      <c r="H311" s="30"/>
    </row>
    <row r="312" spans="2:8" ht="12.75" hidden="1" x14ac:dyDescent="0.2">
      <c r="B312" s="29">
        <v>2008</v>
      </c>
      <c r="C312" s="29">
        <v>1</v>
      </c>
      <c r="D312" s="29">
        <v>2</v>
      </c>
      <c r="E312" s="29">
        <f t="shared" si="118"/>
        <v>8</v>
      </c>
      <c r="F312" s="30" t="s">
        <v>166</v>
      </c>
      <c r="G312" s="30" t="s">
        <v>135</v>
      </c>
      <c r="H312" s="30"/>
    </row>
    <row r="313" spans="2:8" ht="12.75" hidden="1" x14ac:dyDescent="0.2">
      <c r="B313" s="29">
        <v>2008</v>
      </c>
      <c r="C313" s="29">
        <v>1</v>
      </c>
      <c r="D313" s="29">
        <v>2</v>
      </c>
      <c r="E313" s="29">
        <f t="shared" si="118"/>
        <v>9</v>
      </c>
      <c r="F313" s="30" t="s">
        <v>166</v>
      </c>
      <c r="G313" s="30" t="s">
        <v>135</v>
      </c>
      <c r="H313" s="30"/>
    </row>
    <row r="314" spans="2:8" ht="12.75" hidden="1" x14ac:dyDescent="0.2">
      <c r="B314" s="29">
        <v>2008</v>
      </c>
      <c r="C314" s="29">
        <v>1</v>
      </c>
      <c r="D314" s="29">
        <v>2</v>
      </c>
      <c r="E314" s="29">
        <f t="shared" si="118"/>
        <v>10</v>
      </c>
      <c r="F314" s="30" t="s">
        <v>166</v>
      </c>
      <c r="G314" s="30" t="s">
        <v>135</v>
      </c>
      <c r="H314" s="30"/>
    </row>
    <row r="315" spans="2:8" ht="12.75" hidden="1" x14ac:dyDescent="0.2">
      <c r="B315" s="29">
        <v>2008</v>
      </c>
      <c r="C315" s="29">
        <v>1</v>
      </c>
      <c r="D315" s="29">
        <v>2</v>
      </c>
      <c r="E315" s="29">
        <v>11</v>
      </c>
      <c r="F315" s="30" t="s">
        <v>74</v>
      </c>
      <c r="G315" s="30" t="s">
        <v>15</v>
      </c>
      <c r="H315" s="30" t="s">
        <v>127</v>
      </c>
    </row>
    <row r="316" spans="2:8" ht="12.75" hidden="1" x14ac:dyDescent="0.2">
      <c r="B316" s="29">
        <v>2008</v>
      </c>
      <c r="C316" s="29">
        <v>1</v>
      </c>
      <c r="D316" s="29">
        <v>2</v>
      </c>
      <c r="E316" s="29">
        <f t="shared" ref="E316:E319" si="119">E315+1</f>
        <v>12</v>
      </c>
      <c r="F316" s="30" t="s">
        <v>74</v>
      </c>
      <c r="G316" s="30" t="s">
        <v>15</v>
      </c>
      <c r="H316" s="30" t="s">
        <v>127</v>
      </c>
    </row>
    <row r="317" spans="2:8" ht="12.75" hidden="1" x14ac:dyDescent="0.2">
      <c r="B317" s="29">
        <v>2008</v>
      </c>
      <c r="C317" s="29">
        <v>1</v>
      </c>
      <c r="D317" s="29">
        <v>2</v>
      </c>
      <c r="E317" s="29">
        <f t="shared" si="119"/>
        <v>13</v>
      </c>
      <c r="F317" s="30" t="s">
        <v>74</v>
      </c>
      <c r="G317" s="30" t="s">
        <v>15</v>
      </c>
      <c r="H317" s="30" t="s">
        <v>127</v>
      </c>
    </row>
    <row r="318" spans="2:8" ht="12.75" hidden="1" x14ac:dyDescent="0.2">
      <c r="B318" s="29">
        <v>2008</v>
      </c>
      <c r="C318" s="29">
        <v>1</v>
      </c>
      <c r="D318" s="29">
        <v>2</v>
      </c>
      <c r="E318" s="29">
        <f t="shared" si="119"/>
        <v>14</v>
      </c>
      <c r="F318" s="30" t="s">
        <v>74</v>
      </c>
      <c r="G318" s="30" t="s">
        <v>15</v>
      </c>
      <c r="H318" s="30" t="s">
        <v>127</v>
      </c>
    </row>
    <row r="319" spans="2:8" ht="12.75" hidden="1" x14ac:dyDescent="0.2">
      <c r="B319" s="29">
        <v>2008</v>
      </c>
      <c r="C319" s="29">
        <v>1</v>
      </c>
      <c r="D319" s="29">
        <v>2</v>
      </c>
      <c r="E319" s="29">
        <f t="shared" si="119"/>
        <v>15</v>
      </c>
      <c r="F319" s="30" t="s">
        <v>74</v>
      </c>
      <c r="G319" s="30" t="s">
        <v>15</v>
      </c>
      <c r="H319" s="30" t="s">
        <v>127</v>
      </c>
    </row>
    <row r="320" spans="2:8" ht="12.75" hidden="1" x14ac:dyDescent="0.2">
      <c r="B320" s="29">
        <v>2008</v>
      </c>
      <c r="C320" s="29">
        <v>1</v>
      </c>
      <c r="D320" s="29">
        <v>2</v>
      </c>
      <c r="E320" s="29">
        <v>16</v>
      </c>
      <c r="F320" s="30" t="s">
        <v>167</v>
      </c>
      <c r="G320" s="30" t="s">
        <v>15</v>
      </c>
      <c r="H320" s="30" t="s">
        <v>133</v>
      </c>
    </row>
    <row r="321" spans="2:8" ht="12.75" hidden="1" x14ac:dyDescent="0.2">
      <c r="B321" s="29">
        <v>2008</v>
      </c>
      <c r="C321" s="29">
        <v>1</v>
      </c>
      <c r="D321" s="29">
        <v>2</v>
      </c>
      <c r="E321" s="29">
        <f t="shared" ref="E321:E324" si="120">E320+1</f>
        <v>17</v>
      </c>
      <c r="F321" s="30" t="s">
        <v>167</v>
      </c>
      <c r="G321" s="30" t="s">
        <v>15</v>
      </c>
      <c r="H321" s="30" t="s">
        <v>133</v>
      </c>
    </row>
    <row r="322" spans="2:8" ht="12.75" hidden="1" x14ac:dyDescent="0.2">
      <c r="B322" s="29">
        <v>2008</v>
      </c>
      <c r="C322" s="29">
        <v>1</v>
      </c>
      <c r="D322" s="29">
        <v>2</v>
      </c>
      <c r="E322" s="29">
        <f t="shared" si="120"/>
        <v>18</v>
      </c>
      <c r="F322" s="30" t="s">
        <v>167</v>
      </c>
      <c r="G322" s="30" t="s">
        <v>15</v>
      </c>
      <c r="H322" s="30" t="s">
        <v>133</v>
      </c>
    </row>
    <row r="323" spans="2:8" ht="12.75" hidden="1" x14ac:dyDescent="0.2">
      <c r="B323" s="29">
        <v>2008</v>
      </c>
      <c r="C323" s="29">
        <v>1</v>
      </c>
      <c r="D323" s="29">
        <v>2</v>
      </c>
      <c r="E323" s="29">
        <f t="shared" si="120"/>
        <v>19</v>
      </c>
      <c r="F323" s="30" t="s">
        <v>167</v>
      </c>
      <c r="G323" s="30" t="s">
        <v>15</v>
      </c>
      <c r="H323" s="30" t="s">
        <v>133</v>
      </c>
    </row>
    <row r="324" spans="2:8" ht="12.75" hidden="1" x14ac:dyDescent="0.2">
      <c r="B324" s="29">
        <v>2008</v>
      </c>
      <c r="C324" s="29">
        <v>1</v>
      </c>
      <c r="D324" s="29">
        <v>2</v>
      </c>
      <c r="E324" s="29">
        <f t="shared" si="120"/>
        <v>20</v>
      </c>
      <c r="F324" s="30" t="s">
        <v>167</v>
      </c>
      <c r="G324" s="30" t="s">
        <v>15</v>
      </c>
      <c r="H324" s="30" t="s">
        <v>133</v>
      </c>
    </row>
    <row r="325" spans="2:8" ht="12.75" hidden="1" x14ac:dyDescent="0.2">
      <c r="B325" s="29">
        <v>2008</v>
      </c>
      <c r="C325" s="29">
        <v>1</v>
      </c>
      <c r="D325" s="29">
        <v>2</v>
      </c>
      <c r="E325" s="29">
        <v>21</v>
      </c>
      <c r="F325" s="30" t="s">
        <v>76</v>
      </c>
      <c r="G325" s="30" t="s">
        <v>18</v>
      </c>
      <c r="H325" s="30" t="s">
        <v>128</v>
      </c>
    </row>
    <row r="326" spans="2:8" ht="12.75" hidden="1" x14ac:dyDescent="0.2">
      <c r="B326" s="29">
        <v>2008</v>
      </c>
      <c r="C326" s="29">
        <v>1</v>
      </c>
      <c r="D326" s="29">
        <v>2</v>
      </c>
      <c r="E326" s="29">
        <f t="shared" ref="E326:E329" si="121">E325+1</f>
        <v>22</v>
      </c>
      <c r="F326" s="30" t="s">
        <v>76</v>
      </c>
      <c r="G326" s="30" t="s">
        <v>18</v>
      </c>
      <c r="H326" s="30" t="s">
        <v>128</v>
      </c>
    </row>
    <row r="327" spans="2:8" ht="12.75" hidden="1" x14ac:dyDescent="0.2">
      <c r="B327" s="29">
        <v>2008</v>
      </c>
      <c r="C327" s="29">
        <v>1</v>
      </c>
      <c r="D327" s="29">
        <v>2</v>
      </c>
      <c r="E327" s="29">
        <f t="shared" si="121"/>
        <v>23</v>
      </c>
      <c r="F327" s="30" t="s">
        <v>76</v>
      </c>
      <c r="G327" s="30" t="s">
        <v>18</v>
      </c>
      <c r="H327" s="30" t="s">
        <v>128</v>
      </c>
    </row>
    <row r="328" spans="2:8" ht="12.75" hidden="1" x14ac:dyDescent="0.2">
      <c r="B328" s="29">
        <v>2008</v>
      </c>
      <c r="C328" s="29">
        <v>1</v>
      </c>
      <c r="D328" s="29">
        <v>2</v>
      </c>
      <c r="E328" s="29">
        <f t="shared" si="121"/>
        <v>24</v>
      </c>
      <c r="F328" s="30" t="s">
        <v>76</v>
      </c>
      <c r="G328" s="30" t="s">
        <v>18</v>
      </c>
      <c r="H328" s="30" t="s">
        <v>128</v>
      </c>
    </row>
    <row r="329" spans="2:8" ht="12.75" hidden="1" x14ac:dyDescent="0.2">
      <c r="B329" s="29">
        <v>2008</v>
      </c>
      <c r="C329" s="29">
        <v>1</v>
      </c>
      <c r="D329" s="29">
        <v>2</v>
      </c>
      <c r="E329" s="29">
        <f t="shared" si="121"/>
        <v>25</v>
      </c>
      <c r="F329" s="30" t="s">
        <v>76</v>
      </c>
      <c r="G329" s="30" t="s">
        <v>18</v>
      </c>
      <c r="H329" s="30" t="s">
        <v>128</v>
      </c>
    </row>
    <row r="330" spans="2:8" ht="12.75" hidden="1" x14ac:dyDescent="0.2">
      <c r="B330" s="29">
        <v>2008</v>
      </c>
      <c r="C330" s="29">
        <v>2</v>
      </c>
      <c r="D330" s="29">
        <v>2</v>
      </c>
      <c r="E330" s="29">
        <v>1</v>
      </c>
      <c r="F330" s="30" t="s">
        <v>72</v>
      </c>
      <c r="G330" s="30" t="s">
        <v>18</v>
      </c>
      <c r="H330" s="30" t="s">
        <v>114</v>
      </c>
    </row>
    <row r="331" spans="2:8" ht="12.75" hidden="1" x14ac:dyDescent="0.2">
      <c r="B331" s="29">
        <v>2008</v>
      </c>
      <c r="C331" s="29">
        <v>2</v>
      </c>
      <c r="D331" s="29">
        <v>2</v>
      </c>
      <c r="E331" s="29">
        <f t="shared" ref="E331:E334" si="122">E330+1</f>
        <v>2</v>
      </c>
      <c r="F331" s="30" t="s">
        <v>72</v>
      </c>
      <c r="G331" s="30" t="s">
        <v>18</v>
      </c>
      <c r="H331" s="30" t="s">
        <v>114</v>
      </c>
    </row>
    <row r="332" spans="2:8" ht="12.75" hidden="1" x14ac:dyDescent="0.2">
      <c r="B332" s="29">
        <v>2008</v>
      </c>
      <c r="C332" s="29">
        <v>2</v>
      </c>
      <c r="D332" s="29">
        <v>2</v>
      </c>
      <c r="E332" s="29">
        <f t="shared" si="122"/>
        <v>3</v>
      </c>
      <c r="F332" s="30" t="s">
        <v>72</v>
      </c>
      <c r="G332" s="30" t="s">
        <v>18</v>
      </c>
      <c r="H332" s="30" t="s">
        <v>114</v>
      </c>
    </row>
    <row r="333" spans="2:8" ht="12.75" hidden="1" x14ac:dyDescent="0.2">
      <c r="B333" s="29">
        <v>2008</v>
      </c>
      <c r="C333" s="29">
        <v>2</v>
      </c>
      <c r="D333" s="29">
        <v>2</v>
      </c>
      <c r="E333" s="29">
        <f t="shared" si="122"/>
        <v>4</v>
      </c>
      <c r="F333" s="30" t="s">
        <v>72</v>
      </c>
      <c r="G333" s="30" t="s">
        <v>18</v>
      </c>
      <c r="H333" s="30" t="s">
        <v>114</v>
      </c>
    </row>
    <row r="334" spans="2:8" ht="12.75" hidden="1" x14ac:dyDescent="0.2">
      <c r="B334" s="29">
        <v>2008</v>
      </c>
      <c r="C334" s="29">
        <v>2</v>
      </c>
      <c r="D334" s="29">
        <v>2</v>
      </c>
      <c r="E334" s="29">
        <f t="shared" si="122"/>
        <v>5</v>
      </c>
      <c r="F334" s="30" t="s">
        <v>72</v>
      </c>
      <c r="G334" s="30" t="s">
        <v>18</v>
      </c>
      <c r="H334" s="30" t="s">
        <v>114</v>
      </c>
    </row>
    <row r="335" spans="2:8" ht="12.75" hidden="1" x14ac:dyDescent="0.2">
      <c r="B335" s="29">
        <v>2008</v>
      </c>
      <c r="C335" s="29">
        <v>2</v>
      </c>
      <c r="D335" s="29">
        <v>2</v>
      </c>
      <c r="E335" s="29">
        <v>6</v>
      </c>
      <c r="F335" s="30" t="s">
        <v>155</v>
      </c>
      <c r="G335" s="30" t="s">
        <v>18</v>
      </c>
      <c r="H335" s="30" t="s">
        <v>128</v>
      </c>
    </row>
    <row r="336" spans="2:8" ht="12.75" hidden="1" x14ac:dyDescent="0.2">
      <c r="B336" s="29">
        <v>2008</v>
      </c>
      <c r="C336" s="29">
        <v>2</v>
      </c>
      <c r="D336" s="29">
        <v>2</v>
      </c>
      <c r="E336" s="29">
        <f t="shared" ref="E336:E339" si="123">E335+1</f>
        <v>7</v>
      </c>
      <c r="F336" s="30" t="s">
        <v>155</v>
      </c>
      <c r="G336" s="30" t="s">
        <v>18</v>
      </c>
      <c r="H336" s="30" t="s">
        <v>128</v>
      </c>
    </row>
    <row r="337" spans="2:8" ht="12.75" hidden="1" x14ac:dyDescent="0.2">
      <c r="B337" s="29">
        <v>2008</v>
      </c>
      <c r="C337" s="29">
        <v>2</v>
      </c>
      <c r="D337" s="29">
        <v>2</v>
      </c>
      <c r="E337" s="29">
        <f t="shared" si="123"/>
        <v>8</v>
      </c>
      <c r="F337" s="30" t="s">
        <v>155</v>
      </c>
      <c r="G337" s="30" t="s">
        <v>18</v>
      </c>
      <c r="H337" s="30" t="s">
        <v>128</v>
      </c>
    </row>
    <row r="338" spans="2:8" ht="12.75" hidden="1" x14ac:dyDescent="0.2">
      <c r="B338" s="29">
        <v>2008</v>
      </c>
      <c r="C338" s="29">
        <v>2</v>
      </c>
      <c r="D338" s="29">
        <v>2</v>
      </c>
      <c r="E338" s="29">
        <f t="shared" si="123"/>
        <v>9</v>
      </c>
      <c r="F338" s="30" t="s">
        <v>155</v>
      </c>
      <c r="G338" s="30" t="s">
        <v>18</v>
      </c>
      <c r="H338" s="30" t="s">
        <v>128</v>
      </c>
    </row>
    <row r="339" spans="2:8" ht="12.75" hidden="1" x14ac:dyDescent="0.2">
      <c r="B339" s="29">
        <v>2008</v>
      </c>
      <c r="C339" s="29">
        <v>2</v>
      </c>
      <c r="D339" s="29">
        <v>2</v>
      </c>
      <c r="E339" s="29">
        <f t="shared" si="123"/>
        <v>10</v>
      </c>
      <c r="F339" s="30" t="s">
        <v>155</v>
      </c>
      <c r="G339" s="30" t="s">
        <v>18</v>
      </c>
      <c r="H339" s="30" t="s">
        <v>128</v>
      </c>
    </row>
    <row r="340" spans="2:8" ht="12.75" hidden="1" x14ac:dyDescent="0.2">
      <c r="B340" s="29">
        <v>2008</v>
      </c>
      <c r="C340" s="29">
        <v>2</v>
      </c>
      <c r="D340" s="29">
        <v>2</v>
      </c>
      <c r="E340" s="29">
        <v>11</v>
      </c>
      <c r="F340" s="30" t="s">
        <v>168</v>
      </c>
      <c r="G340" s="30" t="s">
        <v>15</v>
      </c>
      <c r="H340" s="30" t="s">
        <v>127</v>
      </c>
    </row>
    <row r="341" spans="2:8" ht="12.75" hidden="1" x14ac:dyDescent="0.2">
      <c r="B341" s="29">
        <v>2008</v>
      </c>
      <c r="C341" s="29">
        <v>2</v>
      </c>
      <c r="D341" s="29">
        <v>2</v>
      </c>
      <c r="E341" s="29">
        <f t="shared" ref="E341:E344" si="124">E340+1</f>
        <v>12</v>
      </c>
      <c r="F341" s="30" t="s">
        <v>168</v>
      </c>
      <c r="G341" s="30" t="s">
        <v>15</v>
      </c>
      <c r="H341" s="30" t="s">
        <v>127</v>
      </c>
    </row>
    <row r="342" spans="2:8" ht="12.75" hidden="1" x14ac:dyDescent="0.2">
      <c r="B342" s="29">
        <v>2008</v>
      </c>
      <c r="C342" s="29">
        <v>2</v>
      </c>
      <c r="D342" s="29">
        <v>2</v>
      </c>
      <c r="E342" s="29">
        <f t="shared" si="124"/>
        <v>13</v>
      </c>
      <c r="F342" s="30" t="s">
        <v>168</v>
      </c>
      <c r="G342" s="30" t="s">
        <v>15</v>
      </c>
      <c r="H342" s="30" t="s">
        <v>127</v>
      </c>
    </row>
    <row r="343" spans="2:8" ht="12.75" hidden="1" x14ac:dyDescent="0.2">
      <c r="B343" s="29">
        <v>2008</v>
      </c>
      <c r="C343" s="29">
        <v>2</v>
      </c>
      <c r="D343" s="29">
        <v>2</v>
      </c>
      <c r="E343" s="29">
        <f t="shared" si="124"/>
        <v>14</v>
      </c>
      <c r="F343" s="30" t="s">
        <v>168</v>
      </c>
      <c r="G343" s="30" t="s">
        <v>15</v>
      </c>
      <c r="H343" s="30" t="s">
        <v>127</v>
      </c>
    </row>
    <row r="344" spans="2:8" ht="12.75" hidden="1" x14ac:dyDescent="0.2">
      <c r="B344" s="29">
        <v>2008</v>
      </c>
      <c r="C344" s="29">
        <v>2</v>
      </c>
      <c r="D344" s="29">
        <v>2</v>
      </c>
      <c r="E344" s="29">
        <f t="shared" si="124"/>
        <v>15</v>
      </c>
      <c r="F344" s="30" t="s">
        <v>168</v>
      </c>
      <c r="G344" s="30" t="s">
        <v>15</v>
      </c>
      <c r="H344" s="30" t="s">
        <v>127</v>
      </c>
    </row>
    <row r="345" spans="2:8" ht="12.75" hidden="1" x14ac:dyDescent="0.2">
      <c r="B345" s="29">
        <v>2008</v>
      </c>
      <c r="C345" s="29">
        <v>2</v>
      </c>
      <c r="D345" s="29">
        <v>2</v>
      </c>
      <c r="E345" s="29">
        <v>16</v>
      </c>
      <c r="F345" s="30" t="s">
        <v>169</v>
      </c>
      <c r="G345" s="30" t="s">
        <v>15</v>
      </c>
      <c r="H345" s="30" t="s">
        <v>127</v>
      </c>
    </row>
    <row r="346" spans="2:8" ht="12.75" hidden="1" x14ac:dyDescent="0.2">
      <c r="B346" s="29">
        <v>2008</v>
      </c>
      <c r="C346" s="29">
        <v>2</v>
      </c>
      <c r="D346" s="29">
        <v>2</v>
      </c>
      <c r="E346" s="29">
        <f t="shared" ref="E346:E349" si="125">E345+1</f>
        <v>17</v>
      </c>
      <c r="F346" s="30" t="s">
        <v>169</v>
      </c>
      <c r="G346" s="30" t="s">
        <v>15</v>
      </c>
      <c r="H346" s="30" t="s">
        <v>127</v>
      </c>
    </row>
    <row r="347" spans="2:8" ht="12.75" hidden="1" x14ac:dyDescent="0.2">
      <c r="B347" s="29">
        <v>2008</v>
      </c>
      <c r="C347" s="29">
        <v>2</v>
      </c>
      <c r="D347" s="29">
        <v>2</v>
      </c>
      <c r="E347" s="29">
        <f t="shared" si="125"/>
        <v>18</v>
      </c>
      <c r="F347" s="30" t="s">
        <v>169</v>
      </c>
      <c r="G347" s="30" t="s">
        <v>15</v>
      </c>
      <c r="H347" s="30" t="s">
        <v>127</v>
      </c>
    </row>
    <row r="348" spans="2:8" ht="12.75" hidden="1" x14ac:dyDescent="0.2">
      <c r="B348" s="29">
        <v>2008</v>
      </c>
      <c r="C348" s="29">
        <v>2</v>
      </c>
      <c r="D348" s="29">
        <v>2</v>
      </c>
      <c r="E348" s="29">
        <f t="shared" si="125"/>
        <v>19</v>
      </c>
      <c r="F348" s="30" t="s">
        <v>169</v>
      </c>
      <c r="G348" s="30" t="s">
        <v>15</v>
      </c>
      <c r="H348" s="30" t="s">
        <v>127</v>
      </c>
    </row>
    <row r="349" spans="2:8" ht="12.75" hidden="1" x14ac:dyDescent="0.2">
      <c r="B349" s="29">
        <v>2008</v>
      </c>
      <c r="C349" s="29">
        <v>2</v>
      </c>
      <c r="D349" s="29">
        <v>2</v>
      </c>
      <c r="E349" s="29">
        <f t="shared" si="125"/>
        <v>20</v>
      </c>
      <c r="F349" s="30" t="s">
        <v>169</v>
      </c>
      <c r="G349" s="30" t="s">
        <v>15</v>
      </c>
      <c r="H349" s="30" t="s">
        <v>127</v>
      </c>
    </row>
    <row r="350" spans="2:8" ht="12.75" hidden="1" x14ac:dyDescent="0.2">
      <c r="B350" s="29">
        <v>2008</v>
      </c>
      <c r="C350" s="29">
        <v>2</v>
      </c>
      <c r="D350" s="29">
        <v>2</v>
      </c>
      <c r="E350" s="29">
        <v>21</v>
      </c>
      <c r="F350" s="30" t="s">
        <v>170</v>
      </c>
      <c r="G350" s="30" t="s">
        <v>18</v>
      </c>
      <c r="H350" s="30" t="s">
        <v>114</v>
      </c>
    </row>
    <row r="351" spans="2:8" ht="12.75" hidden="1" x14ac:dyDescent="0.2">
      <c r="B351" s="29">
        <v>2008</v>
      </c>
      <c r="C351" s="29">
        <v>2</v>
      </c>
      <c r="D351" s="29">
        <v>2</v>
      </c>
      <c r="E351" s="29">
        <f t="shared" ref="E351:E354" si="126">E350+1</f>
        <v>22</v>
      </c>
      <c r="F351" s="30" t="s">
        <v>170</v>
      </c>
      <c r="G351" s="30" t="s">
        <v>18</v>
      </c>
      <c r="H351" s="30" t="s">
        <v>114</v>
      </c>
    </row>
    <row r="352" spans="2:8" ht="12.75" hidden="1" x14ac:dyDescent="0.2">
      <c r="B352" s="29">
        <v>2008</v>
      </c>
      <c r="C352" s="29">
        <v>2</v>
      </c>
      <c r="D352" s="29">
        <v>2</v>
      </c>
      <c r="E352" s="29">
        <f t="shared" si="126"/>
        <v>23</v>
      </c>
      <c r="F352" s="30" t="s">
        <v>170</v>
      </c>
      <c r="G352" s="30" t="s">
        <v>18</v>
      </c>
      <c r="H352" s="30" t="s">
        <v>114</v>
      </c>
    </row>
    <row r="353" spans="2:8" ht="12.75" hidden="1" x14ac:dyDescent="0.2">
      <c r="B353" s="29">
        <v>2008</v>
      </c>
      <c r="C353" s="29">
        <v>2</v>
      </c>
      <c r="D353" s="29">
        <v>2</v>
      </c>
      <c r="E353" s="29">
        <f t="shared" si="126"/>
        <v>24</v>
      </c>
      <c r="F353" s="30" t="s">
        <v>170</v>
      </c>
      <c r="G353" s="30" t="s">
        <v>18</v>
      </c>
      <c r="H353" s="30" t="s">
        <v>114</v>
      </c>
    </row>
    <row r="354" spans="2:8" ht="12.75" hidden="1" x14ac:dyDescent="0.2">
      <c r="B354" s="29">
        <v>2008</v>
      </c>
      <c r="C354" s="29">
        <v>2</v>
      </c>
      <c r="D354" s="29">
        <v>2</v>
      </c>
      <c r="E354" s="29">
        <f t="shared" si="126"/>
        <v>25</v>
      </c>
      <c r="F354" s="30" t="s">
        <v>170</v>
      </c>
      <c r="G354" s="30" t="s">
        <v>18</v>
      </c>
      <c r="H354" s="30" t="s">
        <v>114</v>
      </c>
    </row>
    <row r="355" spans="2:8" ht="12.75" hidden="1" x14ac:dyDescent="0.2">
      <c r="B355" s="29">
        <v>2009</v>
      </c>
      <c r="C355" s="29">
        <v>1</v>
      </c>
      <c r="D355" s="29">
        <v>1</v>
      </c>
      <c r="E355" s="29">
        <v>1</v>
      </c>
      <c r="F355" s="30" t="s">
        <v>171</v>
      </c>
      <c r="G355" s="30" t="s">
        <v>15</v>
      </c>
      <c r="H355" s="30" t="s">
        <v>144</v>
      </c>
    </row>
    <row r="356" spans="2:8" ht="12.75" hidden="1" x14ac:dyDescent="0.2">
      <c r="B356" s="29">
        <v>2009</v>
      </c>
      <c r="C356" s="29">
        <v>1</v>
      </c>
      <c r="D356" s="29">
        <v>1</v>
      </c>
      <c r="E356" s="29">
        <f t="shared" ref="E356:E359" si="127">E355+1</f>
        <v>2</v>
      </c>
      <c r="F356" s="30" t="s">
        <v>171</v>
      </c>
      <c r="G356" s="30" t="s">
        <v>15</v>
      </c>
      <c r="H356" s="30" t="s">
        <v>144</v>
      </c>
    </row>
    <row r="357" spans="2:8" ht="12.75" hidden="1" x14ac:dyDescent="0.2">
      <c r="B357" s="29">
        <v>2009</v>
      </c>
      <c r="C357" s="29">
        <v>1</v>
      </c>
      <c r="D357" s="29">
        <v>1</v>
      </c>
      <c r="E357" s="29">
        <f t="shared" si="127"/>
        <v>3</v>
      </c>
      <c r="F357" s="30" t="s">
        <v>171</v>
      </c>
      <c r="G357" s="30" t="s">
        <v>15</v>
      </c>
      <c r="H357" s="30" t="s">
        <v>144</v>
      </c>
    </row>
    <row r="358" spans="2:8" ht="12.75" hidden="1" x14ac:dyDescent="0.2">
      <c r="B358" s="29">
        <v>2009</v>
      </c>
      <c r="C358" s="29">
        <v>1</v>
      </c>
      <c r="D358" s="29">
        <v>1</v>
      </c>
      <c r="E358" s="29">
        <f t="shared" si="127"/>
        <v>4</v>
      </c>
      <c r="F358" s="30" t="s">
        <v>171</v>
      </c>
      <c r="G358" s="30" t="s">
        <v>15</v>
      </c>
      <c r="H358" s="30" t="s">
        <v>144</v>
      </c>
    </row>
    <row r="359" spans="2:8" ht="12.75" hidden="1" x14ac:dyDescent="0.2">
      <c r="B359" s="29">
        <v>2009</v>
      </c>
      <c r="C359" s="29">
        <v>1</v>
      </c>
      <c r="D359" s="29">
        <v>1</v>
      </c>
      <c r="E359" s="29">
        <f t="shared" si="127"/>
        <v>5</v>
      </c>
      <c r="F359" s="30" t="s">
        <v>171</v>
      </c>
      <c r="G359" s="30" t="s">
        <v>15</v>
      </c>
      <c r="H359" s="30" t="s">
        <v>144</v>
      </c>
    </row>
    <row r="360" spans="2:8" ht="12.75" hidden="1" x14ac:dyDescent="0.2">
      <c r="B360" s="29">
        <v>2009</v>
      </c>
      <c r="C360" s="29">
        <v>1</v>
      </c>
      <c r="D360" s="29">
        <v>1</v>
      </c>
      <c r="E360" s="29">
        <v>6</v>
      </c>
      <c r="F360" s="30" t="s">
        <v>172</v>
      </c>
      <c r="G360" s="30" t="s">
        <v>11</v>
      </c>
      <c r="H360" s="30"/>
    </row>
    <row r="361" spans="2:8" ht="12.75" hidden="1" x14ac:dyDescent="0.2">
      <c r="B361" s="29">
        <v>2009</v>
      </c>
      <c r="C361" s="29">
        <v>1</v>
      </c>
      <c r="D361" s="29">
        <v>1</v>
      </c>
      <c r="E361" s="29">
        <f t="shared" ref="E361:E364" si="128">E360+1</f>
        <v>7</v>
      </c>
      <c r="F361" s="30" t="s">
        <v>172</v>
      </c>
      <c r="G361" s="30" t="s">
        <v>11</v>
      </c>
      <c r="H361" s="30"/>
    </row>
    <row r="362" spans="2:8" ht="12.75" hidden="1" x14ac:dyDescent="0.2">
      <c r="B362" s="29">
        <v>2009</v>
      </c>
      <c r="C362" s="29">
        <v>1</v>
      </c>
      <c r="D362" s="29">
        <v>1</v>
      </c>
      <c r="E362" s="29">
        <f t="shared" si="128"/>
        <v>8</v>
      </c>
      <c r="F362" s="30" t="s">
        <v>172</v>
      </c>
      <c r="G362" s="30" t="s">
        <v>11</v>
      </c>
      <c r="H362" s="30"/>
    </row>
    <row r="363" spans="2:8" ht="12.75" hidden="1" x14ac:dyDescent="0.2">
      <c r="B363" s="29">
        <v>2009</v>
      </c>
      <c r="C363" s="29">
        <v>1</v>
      </c>
      <c r="D363" s="29">
        <v>1</v>
      </c>
      <c r="E363" s="29">
        <f t="shared" si="128"/>
        <v>9</v>
      </c>
      <c r="F363" s="30" t="s">
        <v>172</v>
      </c>
      <c r="G363" s="30" t="s">
        <v>11</v>
      </c>
      <c r="H363" s="30"/>
    </row>
    <row r="364" spans="2:8" ht="12.75" hidden="1" x14ac:dyDescent="0.2">
      <c r="B364" s="29">
        <v>2009</v>
      </c>
      <c r="C364" s="29">
        <v>1</v>
      </c>
      <c r="D364" s="29">
        <v>1</v>
      </c>
      <c r="E364" s="29">
        <f t="shared" si="128"/>
        <v>10</v>
      </c>
      <c r="F364" s="30" t="s">
        <v>172</v>
      </c>
      <c r="G364" s="30" t="s">
        <v>11</v>
      </c>
      <c r="H364" s="30"/>
    </row>
    <row r="365" spans="2:8" ht="12.75" hidden="1" x14ac:dyDescent="0.2">
      <c r="B365" s="29">
        <v>2009</v>
      </c>
      <c r="C365" s="29">
        <v>1</v>
      </c>
      <c r="D365" s="29">
        <v>1</v>
      </c>
      <c r="E365" s="29">
        <v>11</v>
      </c>
      <c r="F365" s="30" t="s">
        <v>173</v>
      </c>
      <c r="G365" s="30" t="s">
        <v>15</v>
      </c>
      <c r="H365" s="30" t="s">
        <v>127</v>
      </c>
    </row>
    <row r="366" spans="2:8" ht="12.75" hidden="1" x14ac:dyDescent="0.2">
      <c r="B366" s="29">
        <v>2009</v>
      </c>
      <c r="C366" s="29">
        <v>1</v>
      </c>
      <c r="D366" s="29">
        <v>1</v>
      </c>
      <c r="E366" s="29">
        <f t="shared" ref="E366:E369" si="129">E365+1</f>
        <v>12</v>
      </c>
      <c r="F366" s="30" t="s">
        <v>173</v>
      </c>
      <c r="G366" s="30" t="s">
        <v>15</v>
      </c>
      <c r="H366" s="30" t="s">
        <v>127</v>
      </c>
    </row>
    <row r="367" spans="2:8" ht="12.75" hidden="1" x14ac:dyDescent="0.2">
      <c r="B367" s="29">
        <v>2009</v>
      </c>
      <c r="C367" s="29">
        <v>1</v>
      </c>
      <c r="D367" s="29">
        <v>1</v>
      </c>
      <c r="E367" s="29">
        <f t="shared" si="129"/>
        <v>13</v>
      </c>
      <c r="F367" s="30" t="s">
        <v>173</v>
      </c>
      <c r="G367" s="30" t="s">
        <v>15</v>
      </c>
      <c r="H367" s="30" t="s">
        <v>127</v>
      </c>
    </row>
    <row r="368" spans="2:8" ht="12.75" hidden="1" x14ac:dyDescent="0.2">
      <c r="B368" s="29">
        <v>2009</v>
      </c>
      <c r="C368" s="29">
        <v>1</v>
      </c>
      <c r="D368" s="29">
        <v>1</v>
      </c>
      <c r="E368" s="29">
        <f t="shared" si="129"/>
        <v>14</v>
      </c>
      <c r="F368" s="30" t="s">
        <v>173</v>
      </c>
      <c r="G368" s="30" t="s">
        <v>15</v>
      </c>
      <c r="H368" s="30" t="s">
        <v>127</v>
      </c>
    </row>
    <row r="369" spans="2:8" ht="12.75" hidden="1" x14ac:dyDescent="0.2">
      <c r="B369" s="29">
        <v>2009</v>
      </c>
      <c r="C369" s="29">
        <v>1</v>
      </c>
      <c r="D369" s="29">
        <v>1</v>
      </c>
      <c r="E369" s="29">
        <f t="shared" si="129"/>
        <v>15</v>
      </c>
      <c r="F369" s="30" t="s">
        <v>173</v>
      </c>
      <c r="G369" s="30" t="s">
        <v>15</v>
      </c>
      <c r="H369" s="30" t="s">
        <v>127</v>
      </c>
    </row>
    <row r="370" spans="2:8" ht="12.75" hidden="1" x14ac:dyDescent="0.2">
      <c r="B370" s="29">
        <v>2009</v>
      </c>
      <c r="C370" s="29">
        <v>1</v>
      </c>
      <c r="D370" s="29">
        <v>1</v>
      </c>
      <c r="E370" s="29">
        <v>16</v>
      </c>
      <c r="F370" s="30" t="s">
        <v>83</v>
      </c>
      <c r="G370" s="30" t="s">
        <v>15</v>
      </c>
      <c r="H370" s="30" t="s">
        <v>144</v>
      </c>
    </row>
    <row r="371" spans="2:8" ht="12.75" hidden="1" x14ac:dyDescent="0.2">
      <c r="B371" s="29">
        <v>2009</v>
      </c>
      <c r="C371" s="29">
        <v>1</v>
      </c>
      <c r="D371" s="29">
        <v>1</v>
      </c>
      <c r="E371" s="29">
        <f t="shared" ref="E371:E374" si="130">E370+1</f>
        <v>17</v>
      </c>
      <c r="F371" s="30" t="s">
        <v>83</v>
      </c>
      <c r="G371" s="30" t="s">
        <v>15</v>
      </c>
      <c r="H371" s="30" t="s">
        <v>144</v>
      </c>
    </row>
    <row r="372" spans="2:8" ht="12.75" hidden="1" x14ac:dyDescent="0.2">
      <c r="B372" s="29">
        <v>2009</v>
      </c>
      <c r="C372" s="29">
        <v>1</v>
      </c>
      <c r="D372" s="29">
        <v>1</v>
      </c>
      <c r="E372" s="29">
        <f t="shared" si="130"/>
        <v>18</v>
      </c>
      <c r="F372" s="30" t="s">
        <v>83</v>
      </c>
      <c r="G372" s="30" t="s">
        <v>15</v>
      </c>
      <c r="H372" s="30" t="s">
        <v>144</v>
      </c>
    </row>
    <row r="373" spans="2:8" ht="12.75" hidden="1" x14ac:dyDescent="0.2">
      <c r="B373" s="29">
        <v>2009</v>
      </c>
      <c r="C373" s="29">
        <v>1</v>
      </c>
      <c r="D373" s="29">
        <v>1</v>
      </c>
      <c r="E373" s="29">
        <f t="shared" si="130"/>
        <v>19</v>
      </c>
      <c r="F373" s="30" t="s">
        <v>83</v>
      </c>
      <c r="G373" s="30" t="s">
        <v>15</v>
      </c>
      <c r="H373" s="30" t="s">
        <v>144</v>
      </c>
    </row>
    <row r="374" spans="2:8" ht="12.75" hidden="1" x14ac:dyDescent="0.2">
      <c r="B374" s="29">
        <v>2009</v>
      </c>
      <c r="C374" s="29">
        <v>1</v>
      </c>
      <c r="D374" s="29">
        <v>1</v>
      </c>
      <c r="E374" s="29">
        <f t="shared" si="130"/>
        <v>20</v>
      </c>
      <c r="F374" s="30" t="s">
        <v>83</v>
      </c>
      <c r="G374" s="30" t="s">
        <v>15</v>
      </c>
      <c r="H374" s="30" t="s">
        <v>144</v>
      </c>
    </row>
    <row r="375" spans="2:8" ht="12.75" hidden="1" x14ac:dyDescent="0.2">
      <c r="B375" s="29">
        <v>2009</v>
      </c>
      <c r="C375" s="29">
        <v>2</v>
      </c>
      <c r="D375" s="29">
        <v>1</v>
      </c>
      <c r="E375" s="29">
        <v>1</v>
      </c>
      <c r="F375" s="30" t="s">
        <v>174</v>
      </c>
      <c r="G375" s="30" t="s">
        <v>18</v>
      </c>
      <c r="H375" s="30" t="s">
        <v>114</v>
      </c>
    </row>
    <row r="376" spans="2:8" ht="12.75" hidden="1" x14ac:dyDescent="0.2">
      <c r="B376" s="29">
        <v>2009</v>
      </c>
      <c r="C376" s="29">
        <v>2</v>
      </c>
      <c r="D376" s="29">
        <v>1</v>
      </c>
      <c r="E376" s="29">
        <f t="shared" ref="E376:E379" si="131">E375+1</f>
        <v>2</v>
      </c>
      <c r="F376" s="30" t="s">
        <v>174</v>
      </c>
      <c r="G376" s="30" t="s">
        <v>18</v>
      </c>
      <c r="H376" s="30" t="s">
        <v>114</v>
      </c>
    </row>
    <row r="377" spans="2:8" ht="12.75" hidden="1" x14ac:dyDescent="0.2">
      <c r="B377" s="29">
        <v>2009</v>
      </c>
      <c r="C377" s="29">
        <v>2</v>
      </c>
      <c r="D377" s="29">
        <v>1</v>
      </c>
      <c r="E377" s="29">
        <f t="shared" si="131"/>
        <v>3</v>
      </c>
      <c r="F377" s="30" t="s">
        <v>174</v>
      </c>
      <c r="G377" s="30" t="s">
        <v>18</v>
      </c>
      <c r="H377" s="30" t="s">
        <v>114</v>
      </c>
    </row>
    <row r="378" spans="2:8" ht="12.75" hidden="1" x14ac:dyDescent="0.2">
      <c r="B378" s="29">
        <v>2009</v>
      </c>
      <c r="C378" s="29">
        <v>2</v>
      </c>
      <c r="D378" s="29">
        <v>1</v>
      </c>
      <c r="E378" s="29">
        <f t="shared" si="131"/>
        <v>4</v>
      </c>
      <c r="F378" s="30" t="s">
        <v>174</v>
      </c>
      <c r="G378" s="30" t="s">
        <v>18</v>
      </c>
      <c r="H378" s="30" t="s">
        <v>114</v>
      </c>
    </row>
    <row r="379" spans="2:8" ht="12.75" hidden="1" x14ac:dyDescent="0.2">
      <c r="B379" s="29">
        <v>2009</v>
      </c>
      <c r="C379" s="29">
        <v>2</v>
      </c>
      <c r="D379" s="29">
        <v>1</v>
      </c>
      <c r="E379" s="29">
        <f t="shared" si="131"/>
        <v>5</v>
      </c>
      <c r="F379" s="30" t="s">
        <v>174</v>
      </c>
      <c r="G379" s="30" t="s">
        <v>18</v>
      </c>
      <c r="H379" s="30" t="s">
        <v>114</v>
      </c>
    </row>
    <row r="380" spans="2:8" ht="12.75" hidden="1" x14ac:dyDescent="0.2">
      <c r="B380" s="29">
        <v>2009</v>
      </c>
      <c r="C380" s="29">
        <v>2</v>
      </c>
      <c r="D380" s="29">
        <v>1</v>
      </c>
      <c r="E380" s="29">
        <v>6</v>
      </c>
      <c r="F380" s="30" t="s">
        <v>175</v>
      </c>
      <c r="G380" s="30" t="s">
        <v>15</v>
      </c>
      <c r="H380" s="30" t="s">
        <v>144</v>
      </c>
    </row>
    <row r="381" spans="2:8" ht="12.75" hidden="1" x14ac:dyDescent="0.2">
      <c r="B381" s="29">
        <v>2009</v>
      </c>
      <c r="C381" s="29">
        <v>2</v>
      </c>
      <c r="D381" s="29">
        <v>1</v>
      </c>
      <c r="E381" s="29">
        <f t="shared" ref="E381:E384" si="132">E380+1</f>
        <v>7</v>
      </c>
      <c r="F381" s="30" t="s">
        <v>175</v>
      </c>
      <c r="G381" s="30" t="s">
        <v>15</v>
      </c>
      <c r="H381" s="30" t="s">
        <v>144</v>
      </c>
    </row>
    <row r="382" spans="2:8" ht="12.75" hidden="1" x14ac:dyDescent="0.2">
      <c r="B382" s="29">
        <v>2009</v>
      </c>
      <c r="C382" s="29">
        <v>2</v>
      </c>
      <c r="D382" s="29">
        <v>1</v>
      </c>
      <c r="E382" s="29">
        <f t="shared" si="132"/>
        <v>8</v>
      </c>
      <c r="F382" s="30" t="s">
        <v>175</v>
      </c>
      <c r="G382" s="30" t="s">
        <v>15</v>
      </c>
      <c r="H382" s="30" t="s">
        <v>144</v>
      </c>
    </row>
    <row r="383" spans="2:8" ht="12.75" hidden="1" x14ac:dyDescent="0.2">
      <c r="B383" s="29">
        <v>2009</v>
      </c>
      <c r="C383" s="29">
        <v>2</v>
      </c>
      <c r="D383" s="29">
        <v>1</v>
      </c>
      <c r="E383" s="29">
        <f t="shared" si="132"/>
        <v>9</v>
      </c>
      <c r="F383" s="30" t="s">
        <v>175</v>
      </c>
      <c r="G383" s="30" t="s">
        <v>15</v>
      </c>
      <c r="H383" s="30" t="s">
        <v>144</v>
      </c>
    </row>
    <row r="384" spans="2:8" ht="12.75" hidden="1" x14ac:dyDescent="0.2">
      <c r="B384" s="29">
        <v>2009</v>
      </c>
      <c r="C384" s="29">
        <v>2</v>
      </c>
      <c r="D384" s="29">
        <v>1</v>
      </c>
      <c r="E384" s="29">
        <f t="shared" si="132"/>
        <v>10</v>
      </c>
      <c r="F384" s="30" t="s">
        <v>175</v>
      </c>
      <c r="G384" s="30" t="s">
        <v>15</v>
      </c>
      <c r="H384" s="30" t="s">
        <v>144</v>
      </c>
    </row>
    <row r="385" spans="2:8" ht="12.75" hidden="1" x14ac:dyDescent="0.2">
      <c r="B385" s="29">
        <v>2009</v>
      </c>
      <c r="C385" s="29">
        <v>2</v>
      </c>
      <c r="D385" s="29">
        <v>1</v>
      </c>
      <c r="E385" s="29">
        <v>11</v>
      </c>
      <c r="F385" s="30" t="s">
        <v>176</v>
      </c>
      <c r="G385" s="30" t="s">
        <v>15</v>
      </c>
      <c r="H385" s="30" t="s">
        <v>127</v>
      </c>
    </row>
    <row r="386" spans="2:8" ht="12.75" hidden="1" x14ac:dyDescent="0.2">
      <c r="B386" s="29">
        <v>2009</v>
      </c>
      <c r="C386" s="29">
        <v>2</v>
      </c>
      <c r="D386" s="29">
        <v>1</v>
      </c>
      <c r="E386" s="29">
        <f t="shared" ref="E386:E389" si="133">E385+1</f>
        <v>12</v>
      </c>
      <c r="F386" s="30" t="s">
        <v>176</v>
      </c>
      <c r="G386" s="30" t="s">
        <v>15</v>
      </c>
      <c r="H386" s="30" t="s">
        <v>127</v>
      </c>
    </row>
    <row r="387" spans="2:8" ht="12.75" hidden="1" x14ac:dyDescent="0.2">
      <c r="B387" s="29">
        <v>2009</v>
      </c>
      <c r="C387" s="29">
        <v>2</v>
      </c>
      <c r="D387" s="29">
        <v>1</v>
      </c>
      <c r="E387" s="29">
        <f t="shared" si="133"/>
        <v>13</v>
      </c>
      <c r="F387" s="30" t="s">
        <v>176</v>
      </c>
      <c r="G387" s="30" t="s">
        <v>15</v>
      </c>
      <c r="H387" s="30" t="s">
        <v>127</v>
      </c>
    </row>
    <row r="388" spans="2:8" ht="12.75" hidden="1" x14ac:dyDescent="0.2">
      <c r="B388" s="29">
        <v>2009</v>
      </c>
      <c r="C388" s="29">
        <v>2</v>
      </c>
      <c r="D388" s="29">
        <v>1</v>
      </c>
      <c r="E388" s="29">
        <f t="shared" si="133"/>
        <v>14</v>
      </c>
      <c r="F388" s="30" t="s">
        <v>176</v>
      </c>
      <c r="G388" s="30" t="s">
        <v>15</v>
      </c>
      <c r="H388" s="30" t="s">
        <v>127</v>
      </c>
    </row>
    <row r="389" spans="2:8" ht="12.75" hidden="1" x14ac:dyDescent="0.2">
      <c r="B389" s="29">
        <v>2009</v>
      </c>
      <c r="C389" s="29">
        <v>2</v>
      </c>
      <c r="D389" s="29">
        <v>1</v>
      </c>
      <c r="E389" s="29">
        <f t="shared" si="133"/>
        <v>15</v>
      </c>
      <c r="F389" s="30" t="s">
        <v>176</v>
      </c>
      <c r="G389" s="30" t="s">
        <v>15</v>
      </c>
      <c r="H389" s="30" t="s">
        <v>127</v>
      </c>
    </row>
    <row r="390" spans="2:8" ht="12.75" hidden="1" x14ac:dyDescent="0.2">
      <c r="B390" s="29">
        <v>2009</v>
      </c>
      <c r="C390" s="29">
        <v>2</v>
      </c>
      <c r="D390" s="29">
        <v>1</v>
      </c>
      <c r="E390" s="29">
        <v>16</v>
      </c>
      <c r="F390" s="30" t="s">
        <v>177</v>
      </c>
      <c r="G390" s="30" t="s">
        <v>15</v>
      </c>
      <c r="H390" s="30" t="s">
        <v>178</v>
      </c>
    </row>
    <row r="391" spans="2:8" ht="12.75" hidden="1" x14ac:dyDescent="0.2">
      <c r="B391" s="29">
        <v>2009</v>
      </c>
      <c r="C391" s="29">
        <v>2</v>
      </c>
      <c r="D391" s="29">
        <v>1</v>
      </c>
      <c r="E391" s="29">
        <f t="shared" ref="E391:E394" si="134">E390+1</f>
        <v>17</v>
      </c>
      <c r="F391" s="30" t="s">
        <v>177</v>
      </c>
      <c r="G391" s="30" t="s">
        <v>15</v>
      </c>
      <c r="H391" s="30" t="s">
        <v>178</v>
      </c>
    </row>
    <row r="392" spans="2:8" ht="12.75" hidden="1" x14ac:dyDescent="0.2">
      <c r="B392" s="29">
        <v>2009</v>
      </c>
      <c r="C392" s="29">
        <v>2</v>
      </c>
      <c r="D392" s="29">
        <v>1</v>
      </c>
      <c r="E392" s="29">
        <f t="shared" si="134"/>
        <v>18</v>
      </c>
      <c r="F392" s="30" t="s">
        <v>177</v>
      </c>
      <c r="G392" s="30" t="s">
        <v>15</v>
      </c>
      <c r="H392" s="30" t="s">
        <v>178</v>
      </c>
    </row>
    <row r="393" spans="2:8" ht="12.75" hidden="1" x14ac:dyDescent="0.2">
      <c r="B393" s="29">
        <v>2009</v>
      </c>
      <c r="C393" s="29">
        <v>2</v>
      </c>
      <c r="D393" s="29">
        <v>1</v>
      </c>
      <c r="E393" s="29">
        <f t="shared" si="134"/>
        <v>19</v>
      </c>
      <c r="F393" s="30" t="s">
        <v>177</v>
      </c>
      <c r="G393" s="30" t="s">
        <v>15</v>
      </c>
      <c r="H393" s="30" t="s">
        <v>178</v>
      </c>
    </row>
    <row r="394" spans="2:8" ht="12.75" hidden="1" x14ac:dyDescent="0.2">
      <c r="B394" s="29">
        <v>2009</v>
      </c>
      <c r="C394" s="29">
        <v>2</v>
      </c>
      <c r="D394" s="29">
        <v>1</v>
      </c>
      <c r="E394" s="29">
        <f t="shared" si="134"/>
        <v>20</v>
      </c>
      <c r="F394" s="30" t="s">
        <v>177</v>
      </c>
      <c r="G394" s="30" t="s">
        <v>15</v>
      </c>
      <c r="H394" s="30" t="s">
        <v>178</v>
      </c>
    </row>
    <row r="395" spans="2:8" ht="12.75" hidden="1" x14ac:dyDescent="0.2">
      <c r="B395" s="29">
        <v>2009</v>
      </c>
      <c r="C395" s="29">
        <v>1</v>
      </c>
      <c r="D395" s="29">
        <v>2</v>
      </c>
      <c r="E395" s="29">
        <v>1</v>
      </c>
      <c r="F395" s="30" t="s">
        <v>179</v>
      </c>
      <c r="G395" s="30" t="s">
        <v>18</v>
      </c>
      <c r="H395" s="30" t="s">
        <v>114</v>
      </c>
    </row>
    <row r="396" spans="2:8" ht="12.75" hidden="1" x14ac:dyDescent="0.2">
      <c r="B396" s="29">
        <v>2009</v>
      </c>
      <c r="C396" s="29">
        <v>1</v>
      </c>
      <c r="D396" s="29">
        <v>2</v>
      </c>
      <c r="E396" s="29">
        <f t="shared" ref="E396:E399" si="135">E395+1</f>
        <v>2</v>
      </c>
      <c r="F396" s="30" t="s">
        <v>179</v>
      </c>
      <c r="G396" s="30" t="s">
        <v>18</v>
      </c>
      <c r="H396" s="30" t="s">
        <v>114</v>
      </c>
    </row>
    <row r="397" spans="2:8" ht="12.75" hidden="1" x14ac:dyDescent="0.2">
      <c r="B397" s="29">
        <v>2009</v>
      </c>
      <c r="C397" s="29">
        <v>1</v>
      </c>
      <c r="D397" s="29">
        <v>2</v>
      </c>
      <c r="E397" s="29">
        <f t="shared" si="135"/>
        <v>3</v>
      </c>
      <c r="F397" s="30" t="s">
        <v>179</v>
      </c>
      <c r="G397" s="30" t="s">
        <v>18</v>
      </c>
      <c r="H397" s="30" t="s">
        <v>114</v>
      </c>
    </row>
    <row r="398" spans="2:8" ht="12.75" hidden="1" x14ac:dyDescent="0.2">
      <c r="B398" s="29">
        <v>2009</v>
      </c>
      <c r="C398" s="29">
        <v>1</v>
      </c>
      <c r="D398" s="29">
        <v>2</v>
      </c>
      <c r="E398" s="29">
        <f t="shared" si="135"/>
        <v>4</v>
      </c>
      <c r="F398" s="30" t="s">
        <v>179</v>
      </c>
      <c r="G398" s="30" t="s">
        <v>18</v>
      </c>
      <c r="H398" s="30" t="s">
        <v>114</v>
      </c>
    </row>
    <row r="399" spans="2:8" ht="12.75" hidden="1" x14ac:dyDescent="0.2">
      <c r="B399" s="29">
        <v>2009</v>
      </c>
      <c r="C399" s="29">
        <v>1</v>
      </c>
      <c r="D399" s="29">
        <v>2</v>
      </c>
      <c r="E399" s="29">
        <f t="shared" si="135"/>
        <v>5</v>
      </c>
      <c r="F399" s="30" t="s">
        <v>179</v>
      </c>
      <c r="G399" s="30" t="s">
        <v>18</v>
      </c>
      <c r="H399" s="30" t="s">
        <v>114</v>
      </c>
    </row>
    <row r="400" spans="2:8" ht="12.75" hidden="1" x14ac:dyDescent="0.2">
      <c r="B400" s="29">
        <v>2009</v>
      </c>
      <c r="C400" s="29">
        <v>1</v>
      </c>
      <c r="D400" s="29">
        <v>2</v>
      </c>
      <c r="E400" s="29">
        <v>6</v>
      </c>
      <c r="F400" s="30" t="s">
        <v>180</v>
      </c>
      <c r="G400" s="30" t="s">
        <v>18</v>
      </c>
      <c r="H400" s="30" t="s">
        <v>114</v>
      </c>
    </row>
    <row r="401" spans="2:8" ht="12.75" hidden="1" x14ac:dyDescent="0.2">
      <c r="B401" s="29">
        <v>2009</v>
      </c>
      <c r="C401" s="29">
        <v>1</v>
      </c>
      <c r="D401" s="29">
        <v>2</v>
      </c>
      <c r="E401" s="29">
        <f t="shared" ref="E401:E404" si="136">E400+1</f>
        <v>7</v>
      </c>
      <c r="F401" s="30" t="s">
        <v>180</v>
      </c>
      <c r="G401" s="30" t="s">
        <v>18</v>
      </c>
      <c r="H401" s="30" t="s">
        <v>114</v>
      </c>
    </row>
    <row r="402" spans="2:8" ht="12.75" hidden="1" x14ac:dyDescent="0.2">
      <c r="B402" s="29">
        <v>2009</v>
      </c>
      <c r="C402" s="29">
        <v>1</v>
      </c>
      <c r="D402" s="29">
        <v>2</v>
      </c>
      <c r="E402" s="29">
        <f t="shared" si="136"/>
        <v>8</v>
      </c>
      <c r="F402" s="30" t="s">
        <v>180</v>
      </c>
      <c r="G402" s="30" t="s">
        <v>18</v>
      </c>
      <c r="H402" s="30" t="s">
        <v>114</v>
      </c>
    </row>
    <row r="403" spans="2:8" ht="12.75" hidden="1" x14ac:dyDescent="0.2">
      <c r="B403" s="29">
        <v>2009</v>
      </c>
      <c r="C403" s="29">
        <v>1</v>
      </c>
      <c r="D403" s="29">
        <v>2</v>
      </c>
      <c r="E403" s="29">
        <f t="shared" si="136"/>
        <v>9</v>
      </c>
      <c r="F403" s="30" t="s">
        <v>180</v>
      </c>
      <c r="G403" s="30" t="s">
        <v>18</v>
      </c>
      <c r="H403" s="30" t="s">
        <v>114</v>
      </c>
    </row>
    <row r="404" spans="2:8" ht="12.75" hidden="1" x14ac:dyDescent="0.2">
      <c r="B404" s="29">
        <v>2009</v>
      </c>
      <c r="C404" s="29">
        <v>1</v>
      </c>
      <c r="D404" s="29">
        <v>2</v>
      </c>
      <c r="E404" s="29">
        <f t="shared" si="136"/>
        <v>10</v>
      </c>
      <c r="F404" s="30" t="s">
        <v>180</v>
      </c>
      <c r="G404" s="30" t="s">
        <v>18</v>
      </c>
      <c r="H404" s="30" t="s">
        <v>114</v>
      </c>
    </row>
    <row r="405" spans="2:8" ht="12.75" hidden="1" x14ac:dyDescent="0.2">
      <c r="B405" s="29">
        <v>2009</v>
      </c>
      <c r="C405" s="29">
        <v>1</v>
      </c>
      <c r="D405" s="29">
        <v>2</v>
      </c>
      <c r="E405" s="29">
        <v>11</v>
      </c>
      <c r="F405" s="30" t="s">
        <v>181</v>
      </c>
      <c r="G405" s="30" t="s">
        <v>18</v>
      </c>
      <c r="H405" s="30" t="s">
        <v>128</v>
      </c>
    </row>
    <row r="406" spans="2:8" ht="12.75" hidden="1" x14ac:dyDescent="0.2">
      <c r="B406" s="29">
        <v>2009</v>
      </c>
      <c r="C406" s="29">
        <v>1</v>
      </c>
      <c r="D406" s="29">
        <v>2</v>
      </c>
      <c r="E406" s="29">
        <f t="shared" ref="E406:E409" si="137">E405+1</f>
        <v>12</v>
      </c>
      <c r="F406" s="30" t="s">
        <v>181</v>
      </c>
      <c r="G406" s="30" t="s">
        <v>18</v>
      </c>
      <c r="H406" s="30" t="s">
        <v>128</v>
      </c>
    </row>
    <row r="407" spans="2:8" ht="12.75" hidden="1" x14ac:dyDescent="0.2">
      <c r="B407" s="29">
        <v>2009</v>
      </c>
      <c r="C407" s="29">
        <v>1</v>
      </c>
      <c r="D407" s="29">
        <v>2</v>
      </c>
      <c r="E407" s="29">
        <f t="shared" si="137"/>
        <v>13</v>
      </c>
      <c r="F407" s="30" t="s">
        <v>181</v>
      </c>
      <c r="G407" s="30" t="s">
        <v>18</v>
      </c>
      <c r="H407" s="30" t="s">
        <v>128</v>
      </c>
    </row>
    <row r="408" spans="2:8" ht="12.75" hidden="1" x14ac:dyDescent="0.2">
      <c r="B408" s="29">
        <v>2009</v>
      </c>
      <c r="C408" s="29">
        <v>1</v>
      </c>
      <c r="D408" s="29">
        <v>2</v>
      </c>
      <c r="E408" s="29">
        <f t="shared" si="137"/>
        <v>14</v>
      </c>
      <c r="F408" s="30" t="s">
        <v>181</v>
      </c>
      <c r="G408" s="30" t="s">
        <v>18</v>
      </c>
      <c r="H408" s="30" t="s">
        <v>128</v>
      </c>
    </row>
    <row r="409" spans="2:8" ht="12.75" hidden="1" x14ac:dyDescent="0.2">
      <c r="B409" s="29">
        <v>2009</v>
      </c>
      <c r="C409" s="29">
        <v>1</v>
      </c>
      <c r="D409" s="29">
        <v>2</v>
      </c>
      <c r="E409" s="29">
        <f t="shared" si="137"/>
        <v>15</v>
      </c>
      <c r="F409" s="30" t="s">
        <v>181</v>
      </c>
      <c r="G409" s="30" t="s">
        <v>18</v>
      </c>
      <c r="H409" s="30" t="s">
        <v>128</v>
      </c>
    </row>
    <row r="410" spans="2:8" ht="12.75" hidden="1" x14ac:dyDescent="0.2">
      <c r="B410" s="29">
        <v>2009</v>
      </c>
      <c r="C410" s="29">
        <v>1</v>
      </c>
      <c r="D410" s="29">
        <v>2</v>
      </c>
      <c r="E410" s="29">
        <v>16</v>
      </c>
      <c r="F410" s="30" t="s">
        <v>87</v>
      </c>
      <c r="G410" s="30" t="s">
        <v>18</v>
      </c>
      <c r="H410" s="30" t="s">
        <v>128</v>
      </c>
    </row>
    <row r="411" spans="2:8" ht="12.75" hidden="1" x14ac:dyDescent="0.2">
      <c r="B411" s="29">
        <v>2009</v>
      </c>
      <c r="C411" s="29">
        <v>1</v>
      </c>
      <c r="D411" s="29">
        <v>2</v>
      </c>
      <c r="E411" s="29">
        <f t="shared" ref="E411:E414" si="138">E410+1</f>
        <v>17</v>
      </c>
      <c r="F411" s="30" t="s">
        <v>87</v>
      </c>
      <c r="G411" s="30" t="s">
        <v>18</v>
      </c>
      <c r="H411" s="30" t="s">
        <v>128</v>
      </c>
    </row>
    <row r="412" spans="2:8" ht="12.75" hidden="1" x14ac:dyDescent="0.2">
      <c r="B412" s="29">
        <v>2009</v>
      </c>
      <c r="C412" s="29">
        <v>1</v>
      </c>
      <c r="D412" s="29">
        <v>2</v>
      </c>
      <c r="E412" s="29">
        <f t="shared" si="138"/>
        <v>18</v>
      </c>
      <c r="F412" s="30" t="s">
        <v>87</v>
      </c>
      <c r="G412" s="30" t="s">
        <v>18</v>
      </c>
      <c r="H412" s="30" t="s">
        <v>128</v>
      </c>
    </row>
    <row r="413" spans="2:8" ht="12.75" hidden="1" x14ac:dyDescent="0.2">
      <c r="B413" s="29">
        <v>2009</v>
      </c>
      <c r="C413" s="29">
        <v>1</v>
      </c>
      <c r="D413" s="29">
        <v>2</v>
      </c>
      <c r="E413" s="29">
        <f t="shared" si="138"/>
        <v>19</v>
      </c>
      <c r="F413" s="30" t="s">
        <v>87</v>
      </c>
      <c r="G413" s="30" t="s">
        <v>18</v>
      </c>
      <c r="H413" s="30" t="s">
        <v>128</v>
      </c>
    </row>
    <row r="414" spans="2:8" ht="12.75" hidden="1" x14ac:dyDescent="0.2">
      <c r="B414" s="29">
        <v>2009</v>
      </c>
      <c r="C414" s="29">
        <v>1</v>
      </c>
      <c r="D414" s="29">
        <v>2</v>
      </c>
      <c r="E414" s="29">
        <f t="shared" si="138"/>
        <v>20</v>
      </c>
      <c r="F414" s="30" t="s">
        <v>87</v>
      </c>
      <c r="G414" s="30" t="s">
        <v>18</v>
      </c>
      <c r="H414" s="30" t="s">
        <v>128</v>
      </c>
    </row>
    <row r="415" spans="2:8" ht="12.75" hidden="1" x14ac:dyDescent="0.2">
      <c r="B415" s="29">
        <v>2009</v>
      </c>
      <c r="C415" s="29">
        <v>1</v>
      </c>
      <c r="D415" s="29">
        <v>2</v>
      </c>
      <c r="E415" s="29">
        <v>21</v>
      </c>
      <c r="F415" s="30" t="s">
        <v>182</v>
      </c>
      <c r="G415" s="30" t="s">
        <v>15</v>
      </c>
      <c r="H415" s="30" t="s">
        <v>127</v>
      </c>
    </row>
    <row r="416" spans="2:8" ht="12.75" hidden="1" x14ac:dyDescent="0.2">
      <c r="B416" s="29">
        <v>2009</v>
      </c>
      <c r="C416" s="29">
        <v>1</v>
      </c>
      <c r="D416" s="29">
        <v>2</v>
      </c>
      <c r="E416" s="29">
        <f t="shared" ref="E416:E419" si="139">E415+1</f>
        <v>22</v>
      </c>
      <c r="F416" s="30" t="s">
        <v>182</v>
      </c>
      <c r="G416" s="30" t="s">
        <v>15</v>
      </c>
      <c r="H416" s="30" t="s">
        <v>127</v>
      </c>
    </row>
    <row r="417" spans="2:8" ht="12.75" hidden="1" x14ac:dyDescent="0.2">
      <c r="B417" s="29">
        <v>2009</v>
      </c>
      <c r="C417" s="29">
        <v>1</v>
      </c>
      <c r="D417" s="29">
        <v>2</v>
      </c>
      <c r="E417" s="29">
        <f t="shared" si="139"/>
        <v>23</v>
      </c>
      <c r="F417" s="30" t="s">
        <v>182</v>
      </c>
      <c r="G417" s="30" t="s">
        <v>15</v>
      </c>
      <c r="H417" s="30" t="s">
        <v>127</v>
      </c>
    </row>
    <row r="418" spans="2:8" ht="12.75" hidden="1" x14ac:dyDescent="0.2">
      <c r="B418" s="29">
        <v>2009</v>
      </c>
      <c r="C418" s="29">
        <v>1</v>
      </c>
      <c r="D418" s="29">
        <v>2</v>
      </c>
      <c r="E418" s="29">
        <f t="shared" si="139"/>
        <v>24</v>
      </c>
      <c r="F418" s="30" t="s">
        <v>182</v>
      </c>
      <c r="G418" s="30" t="s">
        <v>15</v>
      </c>
      <c r="H418" s="30" t="s">
        <v>127</v>
      </c>
    </row>
    <row r="419" spans="2:8" ht="12.75" hidden="1" x14ac:dyDescent="0.2">
      <c r="B419" s="29">
        <v>2009</v>
      </c>
      <c r="C419" s="29">
        <v>1</v>
      </c>
      <c r="D419" s="29">
        <v>2</v>
      </c>
      <c r="E419" s="29">
        <f t="shared" si="139"/>
        <v>25</v>
      </c>
      <c r="F419" s="30" t="s">
        <v>182</v>
      </c>
      <c r="G419" s="30" t="s">
        <v>15</v>
      </c>
      <c r="H419" s="30" t="s">
        <v>127</v>
      </c>
    </row>
    <row r="420" spans="2:8" ht="12.75" hidden="1" x14ac:dyDescent="0.2">
      <c r="B420" s="29">
        <v>2009</v>
      </c>
      <c r="C420" s="29">
        <v>2</v>
      </c>
      <c r="D420" s="29">
        <v>2</v>
      </c>
      <c r="E420" s="29">
        <v>1</v>
      </c>
      <c r="F420" s="30" t="s">
        <v>87</v>
      </c>
      <c r="G420" s="30" t="s">
        <v>18</v>
      </c>
      <c r="H420" s="30" t="s">
        <v>128</v>
      </c>
    </row>
    <row r="421" spans="2:8" ht="12.75" hidden="1" x14ac:dyDescent="0.2">
      <c r="B421" s="29">
        <v>2009</v>
      </c>
      <c r="C421" s="29">
        <v>2</v>
      </c>
      <c r="D421" s="29">
        <v>2</v>
      </c>
      <c r="E421" s="29">
        <f t="shared" ref="E421:E424" si="140">E420+1</f>
        <v>2</v>
      </c>
      <c r="F421" s="30" t="s">
        <v>87</v>
      </c>
      <c r="G421" s="30" t="s">
        <v>18</v>
      </c>
      <c r="H421" s="30" t="s">
        <v>128</v>
      </c>
    </row>
    <row r="422" spans="2:8" ht="12.75" hidden="1" x14ac:dyDescent="0.2">
      <c r="B422" s="29">
        <v>2009</v>
      </c>
      <c r="C422" s="29">
        <v>2</v>
      </c>
      <c r="D422" s="29">
        <v>2</v>
      </c>
      <c r="E422" s="29">
        <f t="shared" si="140"/>
        <v>3</v>
      </c>
      <c r="F422" s="30" t="s">
        <v>87</v>
      </c>
      <c r="G422" s="30" t="s">
        <v>18</v>
      </c>
      <c r="H422" s="30" t="s">
        <v>128</v>
      </c>
    </row>
    <row r="423" spans="2:8" ht="12.75" hidden="1" x14ac:dyDescent="0.2">
      <c r="B423" s="29">
        <v>2009</v>
      </c>
      <c r="C423" s="29">
        <v>2</v>
      </c>
      <c r="D423" s="29">
        <v>2</v>
      </c>
      <c r="E423" s="29">
        <f t="shared" si="140"/>
        <v>4</v>
      </c>
      <c r="F423" s="30" t="s">
        <v>87</v>
      </c>
      <c r="G423" s="30" t="s">
        <v>18</v>
      </c>
      <c r="H423" s="30" t="s">
        <v>128</v>
      </c>
    </row>
    <row r="424" spans="2:8" ht="12.75" hidden="1" x14ac:dyDescent="0.2">
      <c r="B424" s="29">
        <v>2009</v>
      </c>
      <c r="C424" s="29">
        <v>2</v>
      </c>
      <c r="D424" s="29">
        <v>2</v>
      </c>
      <c r="E424" s="29">
        <f t="shared" si="140"/>
        <v>5</v>
      </c>
      <c r="F424" s="30" t="s">
        <v>87</v>
      </c>
      <c r="G424" s="30" t="s">
        <v>18</v>
      </c>
      <c r="H424" s="30" t="s">
        <v>128</v>
      </c>
    </row>
    <row r="425" spans="2:8" ht="12.75" hidden="1" x14ac:dyDescent="0.2">
      <c r="B425" s="29">
        <v>2009</v>
      </c>
      <c r="C425" s="29">
        <v>2</v>
      </c>
      <c r="D425" s="29">
        <v>2</v>
      </c>
      <c r="E425" s="29">
        <v>6</v>
      </c>
      <c r="F425" s="30" t="s">
        <v>182</v>
      </c>
      <c r="G425" s="30" t="s">
        <v>15</v>
      </c>
      <c r="H425" s="30" t="s">
        <v>127</v>
      </c>
    </row>
    <row r="426" spans="2:8" ht="12.75" hidden="1" x14ac:dyDescent="0.2">
      <c r="B426" s="29">
        <v>2009</v>
      </c>
      <c r="C426" s="29">
        <v>2</v>
      </c>
      <c r="D426" s="29">
        <v>2</v>
      </c>
      <c r="E426" s="29">
        <f t="shared" ref="E426:E429" si="141">E425+1</f>
        <v>7</v>
      </c>
      <c r="F426" s="30" t="s">
        <v>182</v>
      </c>
      <c r="G426" s="30" t="s">
        <v>15</v>
      </c>
      <c r="H426" s="30" t="s">
        <v>127</v>
      </c>
    </row>
    <row r="427" spans="2:8" ht="12.75" hidden="1" x14ac:dyDescent="0.2">
      <c r="B427" s="29">
        <v>2009</v>
      </c>
      <c r="C427" s="29">
        <v>2</v>
      </c>
      <c r="D427" s="29">
        <v>2</v>
      </c>
      <c r="E427" s="29">
        <f t="shared" si="141"/>
        <v>8</v>
      </c>
      <c r="F427" s="30" t="s">
        <v>182</v>
      </c>
      <c r="G427" s="30" t="s">
        <v>15</v>
      </c>
      <c r="H427" s="30" t="s">
        <v>127</v>
      </c>
    </row>
    <row r="428" spans="2:8" ht="12.75" hidden="1" x14ac:dyDescent="0.2">
      <c r="B428" s="29">
        <v>2009</v>
      </c>
      <c r="C428" s="29">
        <v>2</v>
      </c>
      <c r="D428" s="29">
        <v>2</v>
      </c>
      <c r="E428" s="29">
        <f t="shared" si="141"/>
        <v>9</v>
      </c>
      <c r="F428" s="30" t="s">
        <v>182</v>
      </c>
      <c r="G428" s="30" t="s">
        <v>15</v>
      </c>
      <c r="H428" s="30" t="s">
        <v>127</v>
      </c>
    </row>
    <row r="429" spans="2:8" ht="12.75" hidden="1" x14ac:dyDescent="0.2">
      <c r="B429" s="29">
        <v>2009</v>
      </c>
      <c r="C429" s="29">
        <v>2</v>
      </c>
      <c r="D429" s="29">
        <v>2</v>
      </c>
      <c r="E429" s="29">
        <f t="shared" si="141"/>
        <v>10</v>
      </c>
      <c r="F429" s="30" t="s">
        <v>182</v>
      </c>
      <c r="G429" s="30" t="s">
        <v>15</v>
      </c>
      <c r="H429" s="30" t="s">
        <v>127</v>
      </c>
    </row>
    <row r="430" spans="2:8" ht="12.75" hidden="1" x14ac:dyDescent="0.2">
      <c r="B430" s="29">
        <v>2009</v>
      </c>
      <c r="C430" s="29">
        <v>2</v>
      </c>
      <c r="D430" s="29">
        <v>2</v>
      </c>
      <c r="E430" s="29">
        <v>11</v>
      </c>
      <c r="F430" s="30" t="s">
        <v>89</v>
      </c>
      <c r="G430" s="30" t="s">
        <v>18</v>
      </c>
      <c r="H430" s="30" t="s">
        <v>128</v>
      </c>
    </row>
    <row r="431" spans="2:8" ht="12.75" hidden="1" x14ac:dyDescent="0.2">
      <c r="B431" s="29">
        <v>2009</v>
      </c>
      <c r="C431" s="29">
        <v>2</v>
      </c>
      <c r="D431" s="29">
        <v>2</v>
      </c>
      <c r="E431" s="29">
        <f t="shared" ref="E431:E434" si="142">E430+1</f>
        <v>12</v>
      </c>
      <c r="F431" s="30" t="s">
        <v>89</v>
      </c>
      <c r="G431" s="30" t="s">
        <v>18</v>
      </c>
      <c r="H431" s="30" t="s">
        <v>128</v>
      </c>
    </row>
    <row r="432" spans="2:8" ht="12.75" hidden="1" x14ac:dyDescent="0.2">
      <c r="B432" s="29">
        <v>2009</v>
      </c>
      <c r="C432" s="29">
        <v>2</v>
      </c>
      <c r="D432" s="29">
        <v>2</v>
      </c>
      <c r="E432" s="29">
        <f t="shared" si="142"/>
        <v>13</v>
      </c>
      <c r="F432" s="30" t="s">
        <v>89</v>
      </c>
      <c r="G432" s="30" t="s">
        <v>18</v>
      </c>
      <c r="H432" s="30" t="s">
        <v>128</v>
      </c>
    </row>
    <row r="433" spans="2:8" ht="12.75" hidden="1" x14ac:dyDescent="0.2">
      <c r="B433" s="29">
        <v>2009</v>
      </c>
      <c r="C433" s="29">
        <v>2</v>
      </c>
      <c r="D433" s="29">
        <v>2</v>
      </c>
      <c r="E433" s="29">
        <f t="shared" si="142"/>
        <v>14</v>
      </c>
      <c r="F433" s="30" t="s">
        <v>89</v>
      </c>
      <c r="G433" s="30" t="s">
        <v>18</v>
      </c>
      <c r="H433" s="30" t="s">
        <v>128</v>
      </c>
    </row>
    <row r="434" spans="2:8" ht="12.75" hidden="1" x14ac:dyDescent="0.2">
      <c r="B434" s="29">
        <v>2009</v>
      </c>
      <c r="C434" s="29">
        <v>2</v>
      </c>
      <c r="D434" s="29">
        <v>2</v>
      </c>
      <c r="E434" s="29">
        <f t="shared" si="142"/>
        <v>15</v>
      </c>
      <c r="F434" s="30" t="s">
        <v>89</v>
      </c>
      <c r="G434" s="30" t="s">
        <v>18</v>
      </c>
      <c r="H434" s="30" t="s">
        <v>128</v>
      </c>
    </row>
    <row r="435" spans="2:8" ht="12.75" hidden="1" x14ac:dyDescent="0.2">
      <c r="B435" s="29">
        <v>2009</v>
      </c>
      <c r="C435" s="29">
        <v>2</v>
      </c>
      <c r="D435" s="29">
        <v>2</v>
      </c>
      <c r="E435" s="29">
        <v>16</v>
      </c>
      <c r="F435" s="30" t="s">
        <v>183</v>
      </c>
      <c r="G435" s="30" t="s">
        <v>15</v>
      </c>
      <c r="H435" s="30" t="s">
        <v>133</v>
      </c>
    </row>
    <row r="436" spans="2:8" ht="12.75" hidden="1" x14ac:dyDescent="0.2">
      <c r="B436" s="29">
        <v>2009</v>
      </c>
      <c r="C436" s="29">
        <v>2</v>
      </c>
      <c r="D436" s="29">
        <v>2</v>
      </c>
      <c r="E436" s="29">
        <f t="shared" ref="E436:E438" si="143">E435+1</f>
        <v>17</v>
      </c>
      <c r="F436" s="30" t="s">
        <v>183</v>
      </c>
      <c r="G436" s="30" t="s">
        <v>15</v>
      </c>
      <c r="H436" s="30" t="s">
        <v>133</v>
      </c>
    </row>
    <row r="437" spans="2:8" ht="12.75" hidden="1" x14ac:dyDescent="0.2">
      <c r="B437" s="29">
        <v>2009</v>
      </c>
      <c r="C437" s="29">
        <v>2</v>
      </c>
      <c r="D437" s="29">
        <v>2</v>
      </c>
      <c r="E437" s="29">
        <f t="shared" si="143"/>
        <v>18</v>
      </c>
      <c r="F437" s="30" t="s">
        <v>183</v>
      </c>
      <c r="G437" s="30" t="s">
        <v>15</v>
      </c>
      <c r="H437" s="30" t="s">
        <v>133</v>
      </c>
    </row>
    <row r="438" spans="2:8" ht="12.75" hidden="1" x14ac:dyDescent="0.2">
      <c r="B438" s="29">
        <v>2009</v>
      </c>
      <c r="C438" s="29">
        <v>2</v>
      </c>
      <c r="D438" s="29">
        <v>2</v>
      </c>
      <c r="E438" s="29">
        <f t="shared" si="143"/>
        <v>19</v>
      </c>
      <c r="F438" s="30" t="s">
        <v>183</v>
      </c>
      <c r="G438" s="30" t="s">
        <v>15</v>
      </c>
      <c r="H438" s="30" t="s">
        <v>133</v>
      </c>
    </row>
    <row r="439" spans="2:8" ht="12.75" hidden="1" x14ac:dyDescent="0.2">
      <c r="B439" s="29">
        <f t="shared" ref="B439:D439" si="144">B438</f>
        <v>2009</v>
      </c>
      <c r="C439" s="29">
        <f t="shared" si="144"/>
        <v>2</v>
      </c>
      <c r="D439" s="29">
        <f t="shared" si="144"/>
        <v>2</v>
      </c>
      <c r="E439" s="29">
        <v>19</v>
      </c>
      <c r="F439" s="30" t="s">
        <v>184</v>
      </c>
      <c r="G439" s="30" t="s">
        <v>11</v>
      </c>
      <c r="H439" s="30"/>
    </row>
    <row r="440" spans="2:8" ht="12.75" hidden="1" x14ac:dyDescent="0.2">
      <c r="B440" s="29">
        <f t="shared" ref="B440:D440" si="145">B439</f>
        <v>2009</v>
      </c>
      <c r="C440" s="29">
        <f t="shared" si="145"/>
        <v>2</v>
      </c>
      <c r="D440" s="29">
        <f t="shared" si="145"/>
        <v>2</v>
      </c>
      <c r="E440" s="29">
        <v>19</v>
      </c>
      <c r="F440" s="30" t="s">
        <v>184</v>
      </c>
      <c r="G440" s="30" t="s">
        <v>11</v>
      </c>
      <c r="H440" s="30"/>
    </row>
    <row r="441" spans="2:8" ht="12.75" hidden="1" x14ac:dyDescent="0.2">
      <c r="B441" s="29">
        <v>2009</v>
      </c>
      <c r="C441" s="29">
        <v>2</v>
      </c>
      <c r="D441" s="29">
        <v>2</v>
      </c>
      <c r="E441" s="29">
        <f t="shared" ref="E441:E443" si="146">E440+1</f>
        <v>20</v>
      </c>
      <c r="F441" s="30" t="s">
        <v>183</v>
      </c>
      <c r="G441" s="30" t="s">
        <v>15</v>
      </c>
      <c r="H441" s="30" t="s">
        <v>133</v>
      </c>
    </row>
    <row r="442" spans="2:8" ht="12.75" hidden="1" x14ac:dyDescent="0.2">
      <c r="B442" s="29">
        <f t="shared" ref="B442:D442" si="147">B441</f>
        <v>2009</v>
      </c>
      <c r="C442" s="29">
        <f t="shared" si="147"/>
        <v>2</v>
      </c>
      <c r="D442" s="29">
        <f t="shared" si="147"/>
        <v>2</v>
      </c>
      <c r="E442" s="29">
        <f t="shared" si="146"/>
        <v>21</v>
      </c>
      <c r="F442" s="30" t="str">
        <f>F441</f>
        <v>Os carpinteiros</v>
      </c>
      <c r="G442" s="30" t="s">
        <v>11</v>
      </c>
      <c r="H442" s="30"/>
    </row>
    <row r="443" spans="2:8" ht="12.75" hidden="1" x14ac:dyDescent="0.2">
      <c r="B443" s="29">
        <f t="shared" ref="B443:D443" si="148">B442</f>
        <v>2009</v>
      </c>
      <c r="C443" s="29">
        <f t="shared" si="148"/>
        <v>2</v>
      </c>
      <c r="D443" s="29">
        <f t="shared" si="148"/>
        <v>2</v>
      </c>
      <c r="E443" s="29">
        <f t="shared" si="146"/>
        <v>22</v>
      </c>
      <c r="F443" s="30" t="s">
        <v>184</v>
      </c>
      <c r="G443" s="30" t="s">
        <v>11</v>
      </c>
      <c r="H443" s="30"/>
    </row>
    <row r="444" spans="2:8" ht="12.75" hidden="1" x14ac:dyDescent="0.2">
      <c r="B444" s="29">
        <v>2009</v>
      </c>
      <c r="C444" s="29">
        <v>2</v>
      </c>
      <c r="D444" s="29">
        <v>2</v>
      </c>
      <c r="E444" s="29">
        <v>21</v>
      </c>
      <c r="F444" s="30" t="s">
        <v>91</v>
      </c>
      <c r="G444" s="30" t="s">
        <v>18</v>
      </c>
      <c r="H444" s="30" t="s">
        <v>114</v>
      </c>
    </row>
    <row r="445" spans="2:8" ht="12.75" hidden="1" x14ac:dyDescent="0.2">
      <c r="B445" s="29">
        <f t="shared" ref="B445:D445" si="149">B444</f>
        <v>2009</v>
      </c>
      <c r="C445" s="29">
        <f t="shared" si="149"/>
        <v>2</v>
      </c>
      <c r="D445" s="29">
        <f t="shared" si="149"/>
        <v>2</v>
      </c>
      <c r="E445" s="29">
        <f t="shared" ref="E445:E450" si="150">E444+1</f>
        <v>22</v>
      </c>
      <c r="F445" s="30" t="s">
        <v>184</v>
      </c>
      <c r="G445" s="30" t="s">
        <v>11</v>
      </c>
      <c r="H445" s="30"/>
    </row>
    <row r="446" spans="2:8" ht="12.75" hidden="1" x14ac:dyDescent="0.2">
      <c r="B446" s="29">
        <v>2009</v>
      </c>
      <c r="C446" s="29">
        <v>2</v>
      </c>
      <c r="D446" s="29">
        <v>2</v>
      </c>
      <c r="E446" s="29">
        <f t="shared" si="150"/>
        <v>23</v>
      </c>
      <c r="F446" s="30" t="s">
        <v>91</v>
      </c>
      <c r="G446" s="30" t="s">
        <v>18</v>
      </c>
      <c r="H446" s="30" t="s">
        <v>114</v>
      </c>
    </row>
    <row r="447" spans="2:8" ht="12.75" hidden="1" x14ac:dyDescent="0.2">
      <c r="B447" s="29">
        <f t="shared" ref="B447:D447" si="151">B446</f>
        <v>2009</v>
      </c>
      <c r="C447" s="29">
        <f t="shared" si="151"/>
        <v>2</v>
      </c>
      <c r="D447" s="29">
        <f t="shared" si="151"/>
        <v>2</v>
      </c>
      <c r="E447" s="29">
        <f t="shared" si="150"/>
        <v>24</v>
      </c>
      <c r="F447" s="30" t="s">
        <v>184</v>
      </c>
      <c r="G447" s="30" t="s">
        <v>11</v>
      </c>
      <c r="H447" s="30"/>
    </row>
    <row r="448" spans="2:8" ht="12.75" hidden="1" x14ac:dyDescent="0.2">
      <c r="B448" s="29">
        <v>2009</v>
      </c>
      <c r="C448" s="29">
        <v>2</v>
      </c>
      <c r="D448" s="29">
        <v>2</v>
      </c>
      <c r="E448" s="29">
        <f t="shared" si="150"/>
        <v>25</v>
      </c>
      <c r="F448" s="30" t="s">
        <v>91</v>
      </c>
      <c r="G448" s="30" t="s">
        <v>18</v>
      </c>
      <c r="H448" s="30" t="s">
        <v>114</v>
      </c>
    </row>
    <row r="449" spans="2:8" ht="12.75" hidden="1" x14ac:dyDescent="0.2">
      <c r="B449" s="29">
        <v>2009</v>
      </c>
      <c r="C449" s="29">
        <v>2</v>
      </c>
      <c r="D449" s="29">
        <v>2</v>
      </c>
      <c r="E449" s="29">
        <f t="shared" si="150"/>
        <v>26</v>
      </c>
      <c r="F449" s="30" t="s">
        <v>91</v>
      </c>
      <c r="G449" s="30" t="s">
        <v>18</v>
      </c>
      <c r="H449" s="30" t="s">
        <v>114</v>
      </c>
    </row>
    <row r="450" spans="2:8" ht="12.75" hidden="1" x14ac:dyDescent="0.2">
      <c r="B450" s="29">
        <v>2009</v>
      </c>
      <c r="C450" s="29">
        <v>2</v>
      </c>
      <c r="D450" s="29">
        <v>2</v>
      </c>
      <c r="E450" s="29">
        <f t="shared" si="150"/>
        <v>27</v>
      </c>
      <c r="F450" s="30" t="s">
        <v>91</v>
      </c>
      <c r="G450" s="30" t="s">
        <v>18</v>
      </c>
      <c r="H450" s="30" t="s">
        <v>114</v>
      </c>
    </row>
    <row r="451" spans="2:8" ht="12.75" hidden="1" x14ac:dyDescent="0.2"/>
    <row r="452" spans="2:8" ht="12.75" hidden="1" x14ac:dyDescent="0.2"/>
    <row r="453" spans="2:8" ht="12.75" hidden="1" x14ac:dyDescent="0.2"/>
    <row r="454" spans="2:8" ht="12.75" hidden="1" x14ac:dyDescent="0.2"/>
    <row r="455" spans="2:8" ht="12.75" hidden="1" x14ac:dyDescent="0.2"/>
    <row r="456" spans="2:8" ht="12.75" hidden="1" x14ac:dyDescent="0.2"/>
    <row r="457" spans="2:8" ht="12.75" hidden="1" x14ac:dyDescent="0.2"/>
    <row r="458" spans="2:8" ht="12.75" hidden="1" x14ac:dyDescent="0.2"/>
    <row r="459" spans="2:8" ht="12.75" hidden="1" x14ac:dyDescent="0.2"/>
    <row r="460" spans="2:8" ht="12.75" hidden="1" x14ac:dyDescent="0.2"/>
    <row r="461" spans="2:8" ht="12.75" hidden="1" x14ac:dyDescent="0.2"/>
    <row r="462" spans="2:8" ht="12.75" hidden="1" x14ac:dyDescent="0.2"/>
    <row r="463" spans="2:8" ht="12.75" hidden="1" x14ac:dyDescent="0.2"/>
    <row r="464" spans="2:8" ht="12.75" hidden="1" x14ac:dyDescent="0.2"/>
    <row r="465" ht="12.75" hidden="1" x14ac:dyDescent="0.2"/>
    <row r="466" ht="12.75" hidden="1" x14ac:dyDescent="0.2"/>
    <row r="467" ht="12.75" hidden="1" x14ac:dyDescent="0.2"/>
    <row r="468" ht="12.75" hidden="1" x14ac:dyDescent="0.2"/>
    <row r="469" ht="12.75" hidden="1" x14ac:dyDescent="0.2"/>
    <row r="470" ht="12.75" hidden="1" x14ac:dyDescent="0.2"/>
    <row r="471" ht="12.75" hidden="1" x14ac:dyDescent="0.2"/>
    <row r="472" ht="12.75" hidden="1" x14ac:dyDescent="0.2"/>
    <row r="473" ht="12.75" hidden="1" x14ac:dyDescent="0.2"/>
    <row r="474" ht="12.75" hidden="1" x14ac:dyDescent="0.2"/>
    <row r="475" ht="12.75" hidden="1" x14ac:dyDescent="0.2"/>
    <row r="476" ht="12.75" hidden="1" x14ac:dyDescent="0.2"/>
    <row r="477" ht="12.75" hidden="1" x14ac:dyDescent="0.2"/>
    <row r="478" ht="12.75" hidden="1" x14ac:dyDescent="0.2"/>
    <row r="479" ht="12.75" hidden="1" x14ac:dyDescent="0.2"/>
    <row r="480" ht="12.75" hidden="1" x14ac:dyDescent="0.2"/>
    <row r="481" ht="12.75" hidden="1" x14ac:dyDescent="0.2"/>
    <row r="482" ht="12.75" hidden="1" x14ac:dyDescent="0.2"/>
    <row r="483" ht="12.75" hidden="1" x14ac:dyDescent="0.2"/>
    <row r="484" ht="12.75" hidden="1" x14ac:dyDescent="0.2"/>
    <row r="485" ht="12.75" hidden="1" x14ac:dyDescent="0.2"/>
    <row r="486" ht="12.75" hidden="1" x14ac:dyDescent="0.2"/>
    <row r="487" ht="12.75" hidden="1" x14ac:dyDescent="0.2"/>
    <row r="488" ht="12.75" hidden="1" x14ac:dyDescent="0.2"/>
    <row r="489" ht="12.75" hidden="1" x14ac:dyDescent="0.2"/>
    <row r="490" ht="12.75" hidden="1" x14ac:dyDescent="0.2"/>
    <row r="491" ht="12.75" hidden="1" x14ac:dyDescent="0.2"/>
    <row r="492" ht="12.75" hidden="1" x14ac:dyDescent="0.2"/>
    <row r="493" ht="12.75" hidden="1" x14ac:dyDescent="0.2"/>
    <row r="494" ht="12.75" hidden="1" x14ac:dyDescent="0.2"/>
    <row r="495" ht="12.75" hidden="1" x14ac:dyDescent="0.2"/>
    <row r="496" ht="12.75" hidden="1" x14ac:dyDescent="0.2"/>
    <row r="497" ht="12.75" hidden="1" x14ac:dyDescent="0.2"/>
    <row r="498" ht="12.75" hidden="1" x14ac:dyDescent="0.2"/>
    <row r="499" ht="12.75" hidden="1" x14ac:dyDescent="0.2"/>
    <row r="500" ht="12.75" hidden="1" x14ac:dyDescent="0.2"/>
    <row r="501" ht="12.75" hidden="1" x14ac:dyDescent="0.2"/>
    <row r="502" ht="12.75" hidden="1" x14ac:dyDescent="0.2"/>
    <row r="503" ht="12.75" hidden="1" x14ac:dyDescent="0.2"/>
    <row r="504" ht="12.75" hidden="1" x14ac:dyDescent="0.2"/>
    <row r="505" ht="12.75" hidden="1" x14ac:dyDescent="0.2"/>
    <row r="506" ht="12.75" hidden="1" x14ac:dyDescent="0.2"/>
    <row r="507" ht="12.75" hidden="1" x14ac:dyDescent="0.2"/>
    <row r="508" ht="12.75" hidden="1" x14ac:dyDescent="0.2"/>
    <row r="509" ht="12.75" hidden="1" x14ac:dyDescent="0.2"/>
    <row r="510" ht="12.75" hidden="1" x14ac:dyDescent="0.2"/>
    <row r="511" ht="12.75" hidden="1" x14ac:dyDescent="0.2"/>
    <row r="512" ht="12.75" hidden="1" x14ac:dyDescent="0.2"/>
    <row r="513" ht="12.75" hidden="1" x14ac:dyDescent="0.2"/>
    <row r="514" ht="12.75" hidden="1" x14ac:dyDescent="0.2"/>
    <row r="515" ht="12.75" hidden="1" x14ac:dyDescent="0.2"/>
    <row r="516" ht="12.75" hidden="1" x14ac:dyDescent="0.2"/>
    <row r="517" ht="12.75" hidden="1" x14ac:dyDescent="0.2"/>
    <row r="518" ht="12.75" hidden="1" x14ac:dyDescent="0.2"/>
    <row r="519" ht="12.75" hidden="1" x14ac:dyDescent="0.2"/>
    <row r="520" ht="12.75" hidden="1" x14ac:dyDescent="0.2"/>
    <row r="521" ht="12.75" hidden="1" x14ac:dyDescent="0.2"/>
    <row r="522" ht="12.75" hidden="1" x14ac:dyDescent="0.2"/>
    <row r="523" ht="12.75" hidden="1" x14ac:dyDescent="0.2"/>
    <row r="524" ht="12.75" hidden="1" x14ac:dyDescent="0.2"/>
    <row r="525" ht="12.75" hidden="1" x14ac:dyDescent="0.2"/>
    <row r="526" ht="12.75" hidden="1" x14ac:dyDescent="0.2"/>
    <row r="527" ht="12.75" hidden="1" x14ac:dyDescent="0.2"/>
    <row r="528" ht="12.75" hidden="1" x14ac:dyDescent="0.2"/>
    <row r="529" ht="12.75" hidden="1" x14ac:dyDescent="0.2"/>
    <row r="530" ht="12.75" hidden="1" x14ac:dyDescent="0.2"/>
    <row r="531" ht="12.75" hidden="1" x14ac:dyDescent="0.2"/>
    <row r="532" ht="12.75" hidden="1" x14ac:dyDescent="0.2"/>
    <row r="533" ht="12.75" hidden="1" x14ac:dyDescent="0.2"/>
    <row r="534" ht="12.75" hidden="1" x14ac:dyDescent="0.2"/>
    <row r="535" ht="12.75" hidden="1" x14ac:dyDescent="0.2"/>
    <row r="536" ht="12.75" hidden="1" x14ac:dyDescent="0.2"/>
    <row r="537" ht="12.75" hidden="1" x14ac:dyDescent="0.2"/>
    <row r="538" ht="12.75" hidden="1" x14ac:dyDescent="0.2"/>
    <row r="539" ht="12.75" hidden="1" x14ac:dyDescent="0.2"/>
    <row r="540" ht="12.75" hidden="1" x14ac:dyDescent="0.2"/>
    <row r="541" ht="12.75" hidden="1" x14ac:dyDescent="0.2"/>
    <row r="542" ht="12.75" hidden="1" x14ac:dyDescent="0.2"/>
    <row r="543" ht="12.75" hidden="1" x14ac:dyDescent="0.2"/>
    <row r="544" ht="12.75" hidden="1" x14ac:dyDescent="0.2"/>
    <row r="545" ht="12.75" hidden="1" x14ac:dyDescent="0.2"/>
    <row r="546" ht="12.75" hidden="1" x14ac:dyDescent="0.2"/>
    <row r="547" ht="12.75" hidden="1" x14ac:dyDescent="0.2"/>
    <row r="548" ht="12.75" hidden="1" x14ac:dyDescent="0.2"/>
    <row r="549" ht="12.75" hidden="1" x14ac:dyDescent="0.2"/>
    <row r="550" ht="12.75" hidden="1" x14ac:dyDescent="0.2"/>
    <row r="551" ht="12.75" hidden="1" x14ac:dyDescent="0.2"/>
    <row r="552" ht="12.75" hidden="1" x14ac:dyDescent="0.2"/>
    <row r="553" ht="12.75" hidden="1" x14ac:dyDescent="0.2"/>
    <row r="554" ht="12.75" hidden="1" x14ac:dyDescent="0.2"/>
    <row r="555" ht="12.75" hidden="1" x14ac:dyDescent="0.2"/>
    <row r="556" ht="12.75" hidden="1" x14ac:dyDescent="0.2"/>
    <row r="557" ht="12.75" hidden="1" x14ac:dyDescent="0.2"/>
    <row r="558" ht="12.75" hidden="1" x14ac:dyDescent="0.2"/>
    <row r="559" ht="12.75" hidden="1" x14ac:dyDescent="0.2"/>
    <row r="560" ht="12.75" hidden="1" x14ac:dyDescent="0.2"/>
    <row r="561" ht="12.75" hidden="1" x14ac:dyDescent="0.2"/>
    <row r="562" ht="12.75" hidden="1" x14ac:dyDescent="0.2"/>
    <row r="563" ht="12.75" hidden="1" x14ac:dyDescent="0.2"/>
    <row r="564" ht="12.75" hidden="1" x14ac:dyDescent="0.2"/>
    <row r="565" ht="12.75" hidden="1" x14ac:dyDescent="0.2"/>
    <row r="566" ht="12.75" hidden="1" x14ac:dyDescent="0.2"/>
    <row r="567" ht="12.75" hidden="1" x14ac:dyDescent="0.2"/>
    <row r="568" ht="12.75" hidden="1" x14ac:dyDescent="0.2"/>
    <row r="569" ht="12.75" hidden="1" x14ac:dyDescent="0.2"/>
    <row r="570" ht="12.75" hidden="1" x14ac:dyDescent="0.2"/>
    <row r="571" ht="12.75" hidden="1" x14ac:dyDescent="0.2"/>
    <row r="572" ht="12.75" hidden="1" x14ac:dyDescent="0.2"/>
    <row r="573" ht="12.75" hidden="1" x14ac:dyDescent="0.2"/>
    <row r="574" ht="12.75" hidden="1" x14ac:dyDescent="0.2"/>
    <row r="575" ht="12.75" hidden="1" x14ac:dyDescent="0.2"/>
    <row r="576" ht="12.75" hidden="1" x14ac:dyDescent="0.2"/>
    <row r="577" ht="12.75" hidden="1" x14ac:dyDescent="0.2"/>
    <row r="578" ht="12.75" hidden="1" x14ac:dyDescent="0.2"/>
    <row r="579" ht="12.75" hidden="1" x14ac:dyDescent="0.2"/>
    <row r="580" ht="12.75" hidden="1" x14ac:dyDescent="0.2"/>
    <row r="581" ht="12.75" hidden="1" x14ac:dyDescent="0.2"/>
    <row r="582" ht="12.75" hidden="1" x14ac:dyDescent="0.2"/>
    <row r="583" ht="12.75" hidden="1" x14ac:dyDescent="0.2"/>
    <row r="584" ht="12.75" hidden="1" x14ac:dyDescent="0.2"/>
    <row r="585" ht="12.75" hidden="1" x14ac:dyDescent="0.2"/>
    <row r="586" ht="12.75" hidden="1" x14ac:dyDescent="0.2"/>
    <row r="587" ht="12.75" hidden="1" x14ac:dyDescent="0.2"/>
    <row r="588" ht="12.75" hidden="1" x14ac:dyDescent="0.2"/>
    <row r="589" ht="12.75" hidden="1" x14ac:dyDescent="0.2"/>
    <row r="590" ht="12.75" hidden="1" x14ac:dyDescent="0.2"/>
    <row r="591" ht="12.75" hidden="1" x14ac:dyDescent="0.2"/>
    <row r="592" ht="12.75" hidden="1" x14ac:dyDescent="0.2"/>
    <row r="593" ht="12.75" hidden="1" x14ac:dyDescent="0.2"/>
    <row r="594" ht="12.75" hidden="1" x14ac:dyDescent="0.2"/>
    <row r="595" ht="12.75" hidden="1" x14ac:dyDescent="0.2"/>
    <row r="596" ht="12.75" hidden="1" x14ac:dyDescent="0.2"/>
    <row r="597" ht="12.75" hidden="1" x14ac:dyDescent="0.2"/>
    <row r="598" ht="12.75" hidden="1" x14ac:dyDescent="0.2"/>
    <row r="599" ht="12.75" hidden="1" x14ac:dyDescent="0.2"/>
    <row r="600" ht="12.75" hidden="1" x14ac:dyDescent="0.2"/>
    <row r="601" ht="12.75" hidden="1" x14ac:dyDescent="0.2"/>
    <row r="602" ht="12.75" hidden="1" x14ac:dyDescent="0.2"/>
    <row r="603" ht="12.75" hidden="1" x14ac:dyDescent="0.2"/>
    <row r="604" ht="12.75" hidden="1" x14ac:dyDescent="0.2"/>
    <row r="605" ht="12.75" hidden="1" x14ac:dyDescent="0.2"/>
    <row r="606" ht="12.75" hidden="1" x14ac:dyDescent="0.2"/>
    <row r="607" ht="12.75" hidden="1" x14ac:dyDescent="0.2"/>
    <row r="608" ht="12.75" hidden="1" x14ac:dyDescent="0.2"/>
    <row r="609" ht="12.75" hidden="1" x14ac:dyDescent="0.2"/>
    <row r="610" ht="12.75" hidden="1" x14ac:dyDescent="0.2"/>
    <row r="611" ht="12.75" hidden="1" x14ac:dyDescent="0.2"/>
    <row r="612" ht="12.75" hidden="1" x14ac:dyDescent="0.2"/>
    <row r="613" ht="12.75" hidden="1" x14ac:dyDescent="0.2"/>
    <row r="614" ht="12.75" hidden="1" x14ac:dyDescent="0.2"/>
    <row r="615" ht="12.75" hidden="1" x14ac:dyDescent="0.2"/>
    <row r="616" ht="12.75" hidden="1" x14ac:dyDescent="0.2"/>
    <row r="617" ht="12.75" hidden="1" x14ac:dyDescent="0.2"/>
    <row r="618" ht="12.75" hidden="1" x14ac:dyDescent="0.2"/>
    <row r="619" ht="12.75" hidden="1" x14ac:dyDescent="0.2"/>
    <row r="620" ht="12.75" hidden="1" x14ac:dyDescent="0.2"/>
    <row r="621" ht="12.75" hidden="1" x14ac:dyDescent="0.2"/>
    <row r="622" ht="12.75" hidden="1" x14ac:dyDescent="0.2"/>
    <row r="623" ht="12.75" hidden="1" x14ac:dyDescent="0.2"/>
    <row r="624" ht="12.75" hidden="1" x14ac:dyDescent="0.2"/>
    <row r="625" ht="12.75" hidden="1" x14ac:dyDescent="0.2"/>
    <row r="626" ht="12.75" hidden="1" x14ac:dyDescent="0.2"/>
    <row r="627" ht="12.75" hidden="1" x14ac:dyDescent="0.2"/>
    <row r="628" ht="12.75" hidden="1" x14ac:dyDescent="0.2"/>
    <row r="629" ht="12.75" hidden="1" x14ac:dyDescent="0.2"/>
    <row r="630" ht="12.75" hidden="1" x14ac:dyDescent="0.2"/>
    <row r="631" ht="12.75" hidden="1" x14ac:dyDescent="0.2"/>
    <row r="632" ht="12.75" hidden="1" x14ac:dyDescent="0.2"/>
    <row r="633" ht="12.75" hidden="1" x14ac:dyDescent="0.2"/>
    <row r="634" ht="12.75" hidden="1" x14ac:dyDescent="0.2"/>
    <row r="635" ht="12.75" hidden="1" x14ac:dyDescent="0.2"/>
    <row r="636" ht="12.75" hidden="1" x14ac:dyDescent="0.2"/>
    <row r="637" ht="12.75" hidden="1" x14ac:dyDescent="0.2"/>
    <row r="638" ht="12.75" hidden="1" x14ac:dyDescent="0.2"/>
    <row r="639" ht="12.75" hidden="1" x14ac:dyDescent="0.2"/>
    <row r="640" ht="12.75" hidden="1" x14ac:dyDescent="0.2"/>
    <row r="641" ht="12.75" hidden="1" x14ac:dyDescent="0.2"/>
    <row r="642" ht="12.75" hidden="1" x14ac:dyDescent="0.2"/>
    <row r="643" ht="12.75" hidden="1" x14ac:dyDescent="0.2"/>
    <row r="644" ht="12.75" hidden="1" x14ac:dyDescent="0.2"/>
    <row r="645" ht="12.75" hidden="1" x14ac:dyDescent="0.2"/>
    <row r="646" ht="12.75" hidden="1" x14ac:dyDescent="0.2"/>
    <row r="647" ht="12.75" hidden="1" x14ac:dyDescent="0.2"/>
    <row r="648" ht="12.75" hidden="1" x14ac:dyDescent="0.2"/>
    <row r="649" ht="12.75" hidden="1" x14ac:dyDescent="0.2"/>
    <row r="650" ht="12.75" hidden="1" x14ac:dyDescent="0.2"/>
    <row r="651" ht="12.75" hidden="1" x14ac:dyDescent="0.2"/>
    <row r="652" ht="12.75" hidden="1" x14ac:dyDescent="0.2"/>
    <row r="653" ht="12.75" hidden="1" x14ac:dyDescent="0.2"/>
    <row r="654" ht="12.75" hidden="1" x14ac:dyDescent="0.2"/>
    <row r="655" ht="12.75" hidden="1" x14ac:dyDescent="0.2"/>
    <row r="656" ht="12.75" hidden="1" x14ac:dyDescent="0.2"/>
    <row r="657" ht="12.75" hidden="1" x14ac:dyDescent="0.2"/>
    <row r="658" ht="12.75" hidden="1" x14ac:dyDescent="0.2"/>
    <row r="659" ht="12.75" hidden="1" x14ac:dyDescent="0.2"/>
    <row r="660" ht="12.75" hidden="1" x14ac:dyDescent="0.2"/>
    <row r="661" ht="12.75" hidden="1" x14ac:dyDescent="0.2"/>
    <row r="662" ht="12.75" hidden="1" x14ac:dyDescent="0.2"/>
    <row r="663" ht="12.75" hidden="1" x14ac:dyDescent="0.2"/>
    <row r="664" ht="12.75" hidden="1" x14ac:dyDescent="0.2"/>
    <row r="665" ht="12.75" hidden="1" x14ac:dyDescent="0.2"/>
    <row r="666" ht="12.75" hidden="1" x14ac:dyDescent="0.2"/>
    <row r="667" ht="12.75" hidden="1" x14ac:dyDescent="0.2"/>
    <row r="668" ht="12.75" hidden="1" x14ac:dyDescent="0.2"/>
    <row r="669" ht="12.75" hidden="1" x14ac:dyDescent="0.2"/>
    <row r="670" ht="12.75" hidden="1" x14ac:dyDescent="0.2"/>
    <row r="671" ht="12.75" hidden="1" x14ac:dyDescent="0.2"/>
    <row r="672" ht="12.75" hidden="1" x14ac:dyDescent="0.2"/>
    <row r="673" ht="12.75" hidden="1" x14ac:dyDescent="0.2"/>
    <row r="674" ht="12.75" hidden="1" x14ac:dyDescent="0.2"/>
    <row r="675" ht="12.75" hidden="1" x14ac:dyDescent="0.2"/>
    <row r="676" ht="12.75" hidden="1" x14ac:dyDescent="0.2"/>
    <row r="677" ht="12.75" hidden="1" x14ac:dyDescent="0.2"/>
    <row r="678" ht="12.75" hidden="1" x14ac:dyDescent="0.2"/>
    <row r="679" ht="12.75" hidden="1" x14ac:dyDescent="0.2"/>
    <row r="680" ht="12.75" hidden="1" x14ac:dyDescent="0.2"/>
    <row r="681" ht="12.75" hidden="1" x14ac:dyDescent="0.2"/>
    <row r="682" ht="12.75" hidden="1" x14ac:dyDescent="0.2"/>
    <row r="683" ht="12.75" hidden="1" x14ac:dyDescent="0.2"/>
    <row r="684" ht="12.75" hidden="1" x14ac:dyDescent="0.2"/>
    <row r="685" ht="12.75" hidden="1" x14ac:dyDescent="0.2"/>
    <row r="686" ht="12.75" hidden="1" x14ac:dyDescent="0.2"/>
    <row r="687" ht="12.75" hidden="1" x14ac:dyDescent="0.2"/>
    <row r="688" ht="12.75" hidden="1" x14ac:dyDescent="0.2"/>
    <row r="689" ht="12.75" hidden="1" x14ac:dyDescent="0.2"/>
    <row r="690" ht="12.75" hidden="1" x14ac:dyDescent="0.2"/>
    <row r="691" ht="12.75" hidden="1" x14ac:dyDescent="0.2"/>
    <row r="692" ht="12.75" hidden="1" x14ac:dyDescent="0.2"/>
    <row r="693" ht="12.75" hidden="1" x14ac:dyDescent="0.2"/>
    <row r="694" ht="12.75" hidden="1" x14ac:dyDescent="0.2"/>
    <row r="695" ht="12.75" hidden="1" x14ac:dyDescent="0.2"/>
    <row r="696" ht="12.75" hidden="1" x14ac:dyDescent="0.2"/>
    <row r="697" ht="12.75" hidden="1" x14ac:dyDescent="0.2"/>
    <row r="698" ht="12.75" hidden="1" x14ac:dyDescent="0.2"/>
    <row r="699" ht="12.75" hidden="1" x14ac:dyDescent="0.2"/>
    <row r="700" ht="12.75" hidden="1" x14ac:dyDescent="0.2"/>
    <row r="701" ht="12.75" hidden="1" x14ac:dyDescent="0.2"/>
    <row r="702" ht="12.75" hidden="1" x14ac:dyDescent="0.2"/>
    <row r="703" ht="12.75" hidden="1" x14ac:dyDescent="0.2"/>
    <row r="704" ht="12.75" hidden="1" x14ac:dyDescent="0.2"/>
    <row r="705" ht="12.75" hidden="1" x14ac:dyDescent="0.2"/>
    <row r="706" ht="12.75" hidden="1" x14ac:dyDescent="0.2"/>
    <row r="707" ht="12.75" hidden="1" x14ac:dyDescent="0.2"/>
    <row r="708" ht="12.75" hidden="1" x14ac:dyDescent="0.2"/>
    <row r="709" ht="12.75" hidden="1" x14ac:dyDescent="0.2"/>
    <row r="710" ht="12.75" hidden="1" x14ac:dyDescent="0.2"/>
    <row r="711" ht="12.75" hidden="1" x14ac:dyDescent="0.2"/>
    <row r="712" ht="12.75" hidden="1" x14ac:dyDescent="0.2"/>
    <row r="713" ht="12.75" hidden="1" x14ac:dyDescent="0.2"/>
    <row r="714" ht="12.75" hidden="1" x14ac:dyDescent="0.2"/>
    <row r="715" ht="12.75" hidden="1" x14ac:dyDescent="0.2"/>
    <row r="716" ht="12.75" hidden="1" x14ac:dyDescent="0.2"/>
    <row r="717" ht="12.75" hidden="1" x14ac:dyDescent="0.2"/>
    <row r="718" ht="12.75" hidden="1" x14ac:dyDescent="0.2"/>
    <row r="719" ht="12.75" hidden="1" x14ac:dyDescent="0.2"/>
    <row r="720" ht="12.75" hidden="1" x14ac:dyDescent="0.2"/>
    <row r="721" ht="12.75" hidden="1" x14ac:dyDescent="0.2"/>
    <row r="722" ht="12.75" hidden="1" x14ac:dyDescent="0.2"/>
    <row r="723" ht="12.75" hidden="1" x14ac:dyDescent="0.2"/>
    <row r="724" ht="12.75" hidden="1" x14ac:dyDescent="0.2"/>
    <row r="725" ht="12.75" hidden="1" x14ac:dyDescent="0.2"/>
    <row r="726" ht="12.75" hidden="1" x14ac:dyDescent="0.2"/>
    <row r="727" ht="12.75" hidden="1" x14ac:dyDescent="0.2"/>
    <row r="728" ht="12.75" hidden="1" x14ac:dyDescent="0.2"/>
    <row r="729" ht="12.75" hidden="1" x14ac:dyDescent="0.2"/>
    <row r="730" ht="12.75" hidden="1" x14ac:dyDescent="0.2"/>
    <row r="731" ht="12.75" hidden="1" x14ac:dyDescent="0.2"/>
    <row r="732" ht="12.75" hidden="1" x14ac:dyDescent="0.2"/>
    <row r="733" ht="12.75" hidden="1" x14ac:dyDescent="0.2"/>
    <row r="734" ht="12.75" hidden="1" x14ac:dyDescent="0.2"/>
    <row r="735" ht="12.75" hidden="1" x14ac:dyDescent="0.2"/>
    <row r="736" ht="12.75" hidden="1" x14ac:dyDescent="0.2"/>
    <row r="737" ht="12.75" hidden="1" x14ac:dyDescent="0.2"/>
    <row r="738" ht="12.75" hidden="1" x14ac:dyDescent="0.2"/>
    <row r="739" ht="12.75" hidden="1" x14ac:dyDescent="0.2"/>
    <row r="740" ht="12.75" hidden="1" x14ac:dyDescent="0.2"/>
    <row r="741" ht="12.75" hidden="1" x14ac:dyDescent="0.2"/>
    <row r="742" ht="12.75" hidden="1" x14ac:dyDescent="0.2"/>
    <row r="743" ht="12.75" hidden="1" x14ac:dyDescent="0.2"/>
    <row r="744" ht="12.75" hidden="1" x14ac:dyDescent="0.2"/>
    <row r="745" ht="12.75" hidden="1" x14ac:dyDescent="0.2"/>
    <row r="746" ht="12.75" hidden="1" x14ac:dyDescent="0.2"/>
    <row r="747" ht="12.75" hidden="1" x14ac:dyDescent="0.2"/>
    <row r="748" ht="12.75" hidden="1" x14ac:dyDescent="0.2"/>
    <row r="749" ht="12.75" hidden="1" x14ac:dyDescent="0.2"/>
    <row r="750" ht="12.75" hidden="1" x14ac:dyDescent="0.2"/>
    <row r="751" ht="12.75" hidden="1" x14ac:dyDescent="0.2"/>
    <row r="752" ht="12.75" hidden="1" x14ac:dyDescent="0.2"/>
    <row r="753" ht="12.75" hidden="1" x14ac:dyDescent="0.2"/>
    <row r="754" ht="12.75" hidden="1" x14ac:dyDescent="0.2"/>
    <row r="755" ht="12.75" hidden="1" x14ac:dyDescent="0.2"/>
    <row r="756" ht="12.75" hidden="1" x14ac:dyDescent="0.2"/>
    <row r="757" ht="12.75" hidden="1" x14ac:dyDescent="0.2"/>
    <row r="758" ht="12.75" hidden="1" x14ac:dyDescent="0.2"/>
    <row r="759" ht="12.75" hidden="1" x14ac:dyDescent="0.2"/>
    <row r="760" ht="12.75" hidden="1" x14ac:dyDescent="0.2"/>
    <row r="761" ht="12.75" hidden="1" x14ac:dyDescent="0.2"/>
    <row r="762" ht="12.75" hidden="1" x14ac:dyDescent="0.2"/>
    <row r="763" ht="12.75" hidden="1" x14ac:dyDescent="0.2"/>
    <row r="764" ht="12.75" hidden="1" x14ac:dyDescent="0.2"/>
    <row r="765" ht="12.75" hidden="1" x14ac:dyDescent="0.2"/>
    <row r="766" ht="12.75" hidden="1" x14ac:dyDescent="0.2"/>
    <row r="767" ht="12.75" hidden="1" x14ac:dyDescent="0.2"/>
    <row r="768" ht="12.75" hidden="1" x14ac:dyDescent="0.2"/>
    <row r="769" ht="12.75" hidden="1" x14ac:dyDescent="0.2"/>
    <row r="770" ht="12.75" hidden="1" x14ac:dyDescent="0.2"/>
    <row r="771" ht="12.75" hidden="1" x14ac:dyDescent="0.2"/>
    <row r="772" ht="12.75" hidden="1" x14ac:dyDescent="0.2"/>
    <row r="773" ht="12.75" hidden="1" x14ac:dyDescent="0.2"/>
    <row r="774" ht="12.75" hidden="1" x14ac:dyDescent="0.2"/>
    <row r="775" ht="12.75" hidden="1" x14ac:dyDescent="0.2"/>
    <row r="776" ht="12.75" hidden="1" x14ac:dyDescent="0.2"/>
    <row r="777" ht="12.75" hidden="1" x14ac:dyDescent="0.2"/>
    <row r="778" ht="12.75" hidden="1" x14ac:dyDescent="0.2"/>
    <row r="779" ht="12.75" hidden="1" x14ac:dyDescent="0.2"/>
    <row r="780" ht="12.75" hidden="1" x14ac:dyDescent="0.2"/>
    <row r="781" ht="12.75" hidden="1" x14ac:dyDescent="0.2"/>
    <row r="782" ht="12.75" hidden="1" x14ac:dyDescent="0.2"/>
    <row r="783" ht="12.75" hidden="1" x14ac:dyDescent="0.2"/>
    <row r="784" ht="12.75" hidden="1" x14ac:dyDescent="0.2"/>
    <row r="785" ht="12.75" hidden="1" x14ac:dyDescent="0.2"/>
    <row r="786" ht="12.75" hidden="1" x14ac:dyDescent="0.2"/>
    <row r="787" ht="12.75" hidden="1" x14ac:dyDescent="0.2"/>
    <row r="788" ht="12.75" hidden="1" x14ac:dyDescent="0.2"/>
    <row r="789" ht="12.75" hidden="1" x14ac:dyDescent="0.2"/>
    <row r="790" ht="12.75" hidden="1" x14ac:dyDescent="0.2"/>
    <row r="791" ht="12.75" hidden="1" x14ac:dyDescent="0.2"/>
    <row r="792" ht="12.75" hidden="1" x14ac:dyDescent="0.2"/>
    <row r="793" ht="12.75" hidden="1" x14ac:dyDescent="0.2"/>
    <row r="794" ht="12.75" hidden="1" x14ac:dyDescent="0.2"/>
    <row r="795" ht="12.75" hidden="1" x14ac:dyDescent="0.2"/>
    <row r="796" ht="12.75" hidden="1" x14ac:dyDescent="0.2"/>
    <row r="797" ht="12.75" hidden="1" x14ac:dyDescent="0.2"/>
    <row r="798" ht="12.75" hidden="1" x14ac:dyDescent="0.2"/>
    <row r="799" ht="12.75" hidden="1" x14ac:dyDescent="0.2"/>
    <row r="800" ht="12.75" hidden="1" x14ac:dyDescent="0.2"/>
    <row r="801" ht="12.75" hidden="1" x14ac:dyDescent="0.2"/>
    <row r="802" ht="12.75" hidden="1" x14ac:dyDescent="0.2"/>
    <row r="803" ht="12.75" hidden="1" x14ac:dyDescent="0.2"/>
    <row r="804" ht="12.75" hidden="1" x14ac:dyDescent="0.2"/>
    <row r="805" ht="12.75" hidden="1" x14ac:dyDescent="0.2"/>
    <row r="806" ht="12.75" hidden="1" x14ac:dyDescent="0.2"/>
    <row r="807" ht="12.75" hidden="1" x14ac:dyDescent="0.2"/>
    <row r="808" ht="12.75" hidden="1" x14ac:dyDescent="0.2"/>
    <row r="809" ht="12.75" hidden="1" x14ac:dyDescent="0.2"/>
    <row r="810" ht="12.75" hidden="1" x14ac:dyDescent="0.2"/>
    <row r="811" ht="12.75" hidden="1" x14ac:dyDescent="0.2"/>
    <row r="812" ht="12.75" hidden="1" x14ac:dyDescent="0.2"/>
    <row r="813" ht="12.75" hidden="1" x14ac:dyDescent="0.2"/>
    <row r="814" ht="12.75" hidden="1" x14ac:dyDescent="0.2"/>
    <row r="815" ht="12.75" hidden="1" x14ac:dyDescent="0.2"/>
    <row r="816" ht="12.75" hidden="1" x14ac:dyDescent="0.2"/>
    <row r="817" ht="12.75" hidden="1" x14ac:dyDescent="0.2"/>
    <row r="818" ht="12.75" hidden="1" x14ac:dyDescent="0.2"/>
    <row r="819" ht="12.75" hidden="1" x14ac:dyDescent="0.2"/>
    <row r="820" ht="12.75" hidden="1" x14ac:dyDescent="0.2"/>
    <row r="821" ht="12.75" hidden="1" x14ac:dyDescent="0.2"/>
    <row r="822" ht="12.75" hidden="1" x14ac:dyDescent="0.2"/>
    <row r="823" ht="12.75" hidden="1" x14ac:dyDescent="0.2"/>
    <row r="824" ht="12.75" hidden="1" x14ac:dyDescent="0.2"/>
    <row r="825" ht="12.75" hidden="1" x14ac:dyDescent="0.2"/>
    <row r="826" ht="12.75" hidden="1" x14ac:dyDescent="0.2"/>
    <row r="827" ht="12.75" hidden="1" x14ac:dyDescent="0.2"/>
    <row r="828" ht="12.75" hidden="1" x14ac:dyDescent="0.2"/>
    <row r="829" ht="12.75" hidden="1" x14ac:dyDescent="0.2"/>
    <row r="830" ht="12.75" hidden="1" x14ac:dyDescent="0.2"/>
    <row r="831" ht="12.75" hidden="1" x14ac:dyDescent="0.2"/>
    <row r="832" ht="12.75" hidden="1" x14ac:dyDescent="0.2"/>
    <row r="833" ht="12.75" hidden="1" x14ac:dyDescent="0.2"/>
    <row r="834" ht="12.75" hidden="1" x14ac:dyDescent="0.2"/>
    <row r="835" ht="12.75" hidden="1" x14ac:dyDescent="0.2"/>
    <row r="836" ht="12.75" hidden="1" x14ac:dyDescent="0.2"/>
    <row r="837" ht="12.75" hidden="1" x14ac:dyDescent="0.2"/>
    <row r="838" ht="12.75" hidden="1" x14ac:dyDescent="0.2"/>
    <row r="839" ht="12.75" hidden="1" x14ac:dyDescent="0.2"/>
    <row r="840" ht="12.75" hidden="1" x14ac:dyDescent="0.2"/>
    <row r="841" ht="12.75" hidden="1" x14ac:dyDescent="0.2"/>
    <row r="842" ht="12.75" hidden="1" x14ac:dyDescent="0.2"/>
    <row r="843" ht="12.75" hidden="1" x14ac:dyDescent="0.2"/>
    <row r="844" ht="12.75" hidden="1" x14ac:dyDescent="0.2"/>
    <row r="845" ht="12.75" hidden="1" x14ac:dyDescent="0.2"/>
    <row r="846" ht="12.75" hidden="1" x14ac:dyDescent="0.2"/>
    <row r="847" ht="12.75" hidden="1" x14ac:dyDescent="0.2"/>
    <row r="848" ht="12.75" hidden="1" x14ac:dyDescent="0.2"/>
    <row r="849" ht="12.75" hidden="1" x14ac:dyDescent="0.2"/>
    <row r="850" ht="12.75" hidden="1" x14ac:dyDescent="0.2"/>
    <row r="851" ht="12.75" hidden="1" x14ac:dyDescent="0.2"/>
    <row r="852" ht="12.75" hidden="1" x14ac:dyDescent="0.2"/>
    <row r="853" ht="12.75" hidden="1" x14ac:dyDescent="0.2"/>
    <row r="854" ht="12.75" hidden="1" x14ac:dyDescent="0.2"/>
    <row r="855" ht="12.75" hidden="1" x14ac:dyDescent="0.2"/>
    <row r="856" ht="12.75" hidden="1" x14ac:dyDescent="0.2"/>
    <row r="857" ht="12.75" hidden="1" x14ac:dyDescent="0.2"/>
    <row r="858" ht="12.75" hidden="1" x14ac:dyDescent="0.2"/>
    <row r="859" ht="12.75" hidden="1" x14ac:dyDescent="0.2"/>
    <row r="860" ht="12.75" hidden="1" x14ac:dyDescent="0.2"/>
    <row r="861" ht="12.75" hidden="1" x14ac:dyDescent="0.2"/>
    <row r="862" ht="12.75" hidden="1" x14ac:dyDescent="0.2"/>
    <row r="863" ht="12.75" hidden="1" x14ac:dyDescent="0.2"/>
    <row r="864" ht="12.75" hidden="1" x14ac:dyDescent="0.2"/>
    <row r="865" ht="12.75" hidden="1" x14ac:dyDescent="0.2"/>
    <row r="866" ht="12.75" hidden="1" x14ac:dyDescent="0.2"/>
    <row r="867" ht="12.75" hidden="1" x14ac:dyDescent="0.2"/>
    <row r="868" ht="12.75" hidden="1" x14ac:dyDescent="0.2"/>
    <row r="869" ht="12.75" hidden="1" x14ac:dyDescent="0.2"/>
    <row r="870" ht="12.75" hidden="1" x14ac:dyDescent="0.2"/>
    <row r="871" ht="12.75" hidden="1" x14ac:dyDescent="0.2"/>
    <row r="872" ht="12.75" hidden="1" x14ac:dyDescent="0.2"/>
    <row r="873" ht="12.75" hidden="1" x14ac:dyDescent="0.2"/>
    <row r="874" ht="12.75" hidden="1" x14ac:dyDescent="0.2"/>
    <row r="875" ht="12.75" hidden="1" x14ac:dyDescent="0.2"/>
    <row r="876" ht="12.75" hidden="1" x14ac:dyDescent="0.2"/>
    <row r="877" ht="12.75" hidden="1" x14ac:dyDescent="0.2"/>
    <row r="878" ht="12.75" hidden="1" x14ac:dyDescent="0.2"/>
    <row r="879" ht="12.75" hidden="1" x14ac:dyDescent="0.2"/>
    <row r="880" ht="12.75" hidden="1" x14ac:dyDescent="0.2"/>
    <row r="881" ht="12.75" hidden="1" x14ac:dyDescent="0.2"/>
    <row r="882" ht="12.75" hidden="1" x14ac:dyDescent="0.2"/>
    <row r="883" ht="12.75" hidden="1" x14ac:dyDescent="0.2"/>
    <row r="884" ht="12.75" hidden="1" x14ac:dyDescent="0.2"/>
    <row r="885" ht="12.75" hidden="1" x14ac:dyDescent="0.2"/>
    <row r="886" ht="12.75" hidden="1" x14ac:dyDescent="0.2"/>
    <row r="887" ht="12.75" hidden="1" x14ac:dyDescent="0.2"/>
    <row r="888" ht="12.75" hidden="1" x14ac:dyDescent="0.2"/>
    <row r="889" ht="12.75" hidden="1" x14ac:dyDescent="0.2"/>
    <row r="890" ht="12.75" hidden="1" x14ac:dyDescent="0.2"/>
    <row r="891" ht="12.75" hidden="1" x14ac:dyDescent="0.2"/>
    <row r="892" ht="12.75" hidden="1" x14ac:dyDescent="0.2"/>
    <row r="893" ht="12.75" hidden="1" x14ac:dyDescent="0.2"/>
    <row r="894" ht="12.75" hidden="1" x14ac:dyDescent="0.2"/>
    <row r="895" ht="12.75" hidden="1" x14ac:dyDescent="0.2"/>
    <row r="896" ht="12.75" hidden="1" x14ac:dyDescent="0.2"/>
    <row r="897" ht="12.75" hidden="1" x14ac:dyDescent="0.2"/>
    <row r="898" ht="12.75" hidden="1" x14ac:dyDescent="0.2"/>
    <row r="899" ht="12.75" hidden="1" x14ac:dyDescent="0.2"/>
    <row r="900" ht="12.75" hidden="1" x14ac:dyDescent="0.2"/>
    <row r="901" ht="12.75" hidden="1" x14ac:dyDescent="0.2"/>
    <row r="902" ht="12.75" hidden="1" x14ac:dyDescent="0.2"/>
    <row r="903" ht="12.75" hidden="1" x14ac:dyDescent="0.2"/>
    <row r="904" ht="12.75" hidden="1" x14ac:dyDescent="0.2"/>
    <row r="905" ht="12.75" hidden="1" x14ac:dyDescent="0.2"/>
    <row r="906" ht="12.75" hidden="1" x14ac:dyDescent="0.2"/>
    <row r="907" ht="12.75" hidden="1" x14ac:dyDescent="0.2"/>
    <row r="908" ht="12.75" hidden="1" x14ac:dyDescent="0.2"/>
    <row r="909" ht="12.75" hidden="1" x14ac:dyDescent="0.2"/>
    <row r="910" ht="12.75" hidden="1" x14ac:dyDescent="0.2"/>
    <row r="911" ht="12.75" hidden="1" x14ac:dyDescent="0.2"/>
    <row r="912" ht="12.75" hidden="1" x14ac:dyDescent="0.2"/>
    <row r="913" ht="12.75" hidden="1" x14ac:dyDescent="0.2"/>
    <row r="914" ht="12.75" hidden="1" x14ac:dyDescent="0.2"/>
    <row r="915" ht="12.75" hidden="1" x14ac:dyDescent="0.2"/>
    <row r="916" ht="12.75" hidden="1" x14ac:dyDescent="0.2"/>
    <row r="917" ht="12.75" hidden="1" x14ac:dyDescent="0.2"/>
    <row r="918" ht="12.75" hidden="1" x14ac:dyDescent="0.2"/>
    <row r="919" ht="12.75" hidden="1" x14ac:dyDescent="0.2"/>
    <row r="920" ht="12.75" hidden="1" x14ac:dyDescent="0.2"/>
    <row r="921" ht="12.75" hidden="1" x14ac:dyDescent="0.2"/>
    <row r="922" ht="12.75" hidden="1" x14ac:dyDescent="0.2"/>
    <row r="923" ht="12.75" hidden="1" x14ac:dyDescent="0.2"/>
    <row r="924" ht="12.75" hidden="1" x14ac:dyDescent="0.2"/>
    <row r="925" ht="12.75" hidden="1" x14ac:dyDescent="0.2"/>
    <row r="926" ht="12.75" hidden="1" x14ac:dyDescent="0.2"/>
    <row r="927" ht="12.75" hidden="1" x14ac:dyDescent="0.2"/>
    <row r="928" ht="12.75" hidden="1" x14ac:dyDescent="0.2"/>
    <row r="929" ht="12.75" hidden="1" x14ac:dyDescent="0.2"/>
    <row r="930" ht="12.75" hidden="1" x14ac:dyDescent="0.2"/>
    <row r="931" ht="12.75" hidden="1" x14ac:dyDescent="0.2"/>
    <row r="932" ht="12.75" hidden="1" x14ac:dyDescent="0.2"/>
    <row r="933" ht="12.75" hidden="1" x14ac:dyDescent="0.2"/>
    <row r="934" ht="12.75" hidden="1" x14ac:dyDescent="0.2"/>
    <row r="935" ht="12.75" hidden="1" x14ac:dyDescent="0.2"/>
    <row r="936" ht="12.75" hidden="1" x14ac:dyDescent="0.2"/>
    <row r="937" ht="12.75" hidden="1" x14ac:dyDescent="0.2"/>
    <row r="938" ht="12.75" hidden="1" x14ac:dyDescent="0.2"/>
    <row r="939" ht="12.75" hidden="1" x14ac:dyDescent="0.2"/>
    <row r="940" ht="12.75" hidden="1" x14ac:dyDescent="0.2"/>
    <row r="941" ht="12.75" hidden="1" x14ac:dyDescent="0.2"/>
    <row r="942" ht="12.75" hidden="1" x14ac:dyDescent="0.2"/>
    <row r="943" ht="12.75" hidden="1" x14ac:dyDescent="0.2"/>
    <row r="944" ht="12.75" hidden="1" x14ac:dyDescent="0.2"/>
    <row r="945" ht="12.75" hidden="1" x14ac:dyDescent="0.2"/>
    <row r="946" ht="12.75" hidden="1" x14ac:dyDescent="0.2"/>
    <row r="947" ht="12.75" hidden="1" x14ac:dyDescent="0.2"/>
    <row r="948" ht="12.75" hidden="1" x14ac:dyDescent="0.2"/>
    <row r="949" ht="12.75" hidden="1" x14ac:dyDescent="0.2"/>
    <row r="950" ht="12.75" hidden="1" x14ac:dyDescent="0.2"/>
    <row r="951" ht="12.75" hidden="1" x14ac:dyDescent="0.2"/>
    <row r="952" ht="12.75" hidden="1" x14ac:dyDescent="0.2"/>
    <row r="953" ht="12.75" hidden="1" x14ac:dyDescent="0.2"/>
    <row r="954" ht="12.75" hidden="1" x14ac:dyDescent="0.2"/>
    <row r="955" ht="12.75" hidden="1" x14ac:dyDescent="0.2"/>
    <row r="956" ht="12.75" hidden="1" x14ac:dyDescent="0.2"/>
    <row r="957" ht="12.75" hidden="1" x14ac:dyDescent="0.2"/>
    <row r="958" ht="12.75" hidden="1" x14ac:dyDescent="0.2"/>
    <row r="959" ht="12.75" hidden="1" x14ac:dyDescent="0.2"/>
    <row r="960" ht="12.75" hidden="1" x14ac:dyDescent="0.2"/>
    <row r="961" ht="12.75" hidden="1" x14ac:dyDescent="0.2"/>
    <row r="962" ht="12.75" hidden="1" x14ac:dyDescent="0.2"/>
    <row r="963" ht="12.75" hidden="1" x14ac:dyDescent="0.2"/>
    <row r="964" ht="12.75" hidden="1" x14ac:dyDescent="0.2"/>
    <row r="965" ht="12.75" hidden="1" x14ac:dyDescent="0.2"/>
    <row r="966" ht="12.75" hidden="1" x14ac:dyDescent="0.2"/>
    <row r="967" ht="12.75" hidden="1" x14ac:dyDescent="0.2"/>
    <row r="968" ht="12.75" hidden="1" x14ac:dyDescent="0.2"/>
    <row r="969" ht="12.75" hidden="1" x14ac:dyDescent="0.2"/>
    <row r="970" ht="12.75" hidden="1" x14ac:dyDescent="0.2"/>
    <row r="971" ht="12.75" hidden="1" x14ac:dyDescent="0.2"/>
    <row r="972" ht="12.75" hidden="1" x14ac:dyDescent="0.2"/>
    <row r="973" ht="12.75" hidden="1" x14ac:dyDescent="0.2"/>
    <row r="974" ht="12.75" hidden="1" x14ac:dyDescent="0.2"/>
    <row r="975" ht="12.75" hidden="1" x14ac:dyDescent="0.2"/>
    <row r="976" ht="12.75" hidden="1" x14ac:dyDescent="0.2"/>
    <row r="977" ht="12.75" hidden="1" x14ac:dyDescent="0.2"/>
    <row r="978" ht="12.75" hidden="1" x14ac:dyDescent="0.2"/>
    <row r="979" ht="12.75" hidden="1" x14ac:dyDescent="0.2"/>
    <row r="980" ht="12.75" hidden="1" x14ac:dyDescent="0.2"/>
    <row r="981" ht="12.75" hidden="1" x14ac:dyDescent="0.2"/>
    <row r="982" ht="12.75" hidden="1" x14ac:dyDescent="0.2"/>
    <row r="983" ht="12.75" hidden="1" x14ac:dyDescent="0.2"/>
    <row r="984" ht="12.75" hidden="1" x14ac:dyDescent="0.2"/>
    <row r="985" ht="12.75" hidden="1" x14ac:dyDescent="0.2"/>
    <row r="986" ht="12.75" hidden="1" x14ac:dyDescent="0.2"/>
    <row r="987" ht="12.75" hidden="1" x14ac:dyDescent="0.2"/>
    <row r="988" ht="12.75" hidden="1" x14ac:dyDescent="0.2"/>
    <row r="989" ht="12.75" hidden="1" x14ac:dyDescent="0.2"/>
    <row r="990" ht="12.75" hidden="1" x14ac:dyDescent="0.2"/>
    <row r="991" ht="12.75" hidden="1" x14ac:dyDescent="0.2"/>
    <row r="992" ht="12.75" hidden="1" x14ac:dyDescent="0.2"/>
    <row r="993" ht="12.75" hidden="1" x14ac:dyDescent="0.2"/>
    <row r="994" ht="12.75" hidden="1" x14ac:dyDescent="0.2"/>
    <row r="995" ht="12.75" hidden="1" x14ac:dyDescent="0.2"/>
    <row r="996" ht="12.75" hidden="1" x14ac:dyDescent="0.2"/>
    <row r="997" ht="12.75" hidden="1" x14ac:dyDescent="0.2"/>
    <row r="998" ht="12.75" hidden="1" x14ac:dyDescent="0.2"/>
    <row r="999" ht="12.75" hidden="1" x14ac:dyDescent="0.2"/>
  </sheetData>
  <autoFilter ref="B1:H999" xr:uid="{00000000-0009-0000-0000-000003000000}">
    <filterColumn colId="0">
      <filters>
        <filter val="2004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K450"/>
  <sheetViews>
    <sheetView workbookViewId="0"/>
  </sheetViews>
  <sheetFormatPr defaultColWidth="12.5703125" defaultRowHeight="15.75" customHeight="1" x14ac:dyDescent="0.2"/>
  <cols>
    <col min="1" max="1" width="1.42578125" customWidth="1"/>
    <col min="2" max="2" width="14.42578125" customWidth="1"/>
    <col min="3" max="4" width="15.140625" customWidth="1"/>
    <col min="5" max="5" width="19.42578125" customWidth="1"/>
    <col min="6" max="6" width="22" customWidth="1"/>
    <col min="7" max="7" width="21.42578125" customWidth="1"/>
  </cols>
  <sheetData>
    <row r="1" spans="2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2:11" x14ac:dyDescent="0.2">
      <c r="B2" s="3">
        <v>2003</v>
      </c>
      <c r="C2" s="3">
        <v>0</v>
      </c>
      <c r="D2" s="3">
        <v>0</v>
      </c>
      <c r="E2" s="3">
        <v>1</v>
      </c>
      <c r="F2" s="4" t="s">
        <v>6</v>
      </c>
      <c r="G2" s="5" t="s">
        <v>7</v>
      </c>
      <c r="I2" s="6" t="s">
        <v>8</v>
      </c>
      <c r="J2" s="7">
        <v>227</v>
      </c>
      <c r="K2" s="8">
        <f t="shared" ref="K2:K4" si="0">ROUND((J2/$J$4)*100,2)%</f>
        <v>0.50560000000000005</v>
      </c>
    </row>
    <row r="3" spans="2:11" x14ac:dyDescent="0.2">
      <c r="B3" s="3">
        <v>2003</v>
      </c>
      <c r="C3" s="3">
        <v>0</v>
      </c>
      <c r="D3" s="3">
        <v>0</v>
      </c>
      <c r="E3" s="3">
        <v>2</v>
      </c>
      <c r="F3" s="4" t="s">
        <v>6</v>
      </c>
      <c r="G3" s="5" t="s">
        <v>7</v>
      </c>
      <c r="I3" s="9" t="s">
        <v>9</v>
      </c>
      <c r="J3" s="10">
        <v>222</v>
      </c>
      <c r="K3" s="11">
        <f t="shared" si="0"/>
        <v>0.49439999999999995</v>
      </c>
    </row>
    <row r="4" spans="2:11" x14ac:dyDescent="0.2">
      <c r="B4" s="3">
        <v>2003</v>
      </c>
      <c r="C4" s="3">
        <v>0</v>
      </c>
      <c r="D4" s="3">
        <v>0</v>
      </c>
      <c r="E4" s="3">
        <v>3</v>
      </c>
      <c r="F4" s="4" t="s">
        <v>10</v>
      </c>
      <c r="G4" s="5" t="s">
        <v>11</v>
      </c>
      <c r="I4" s="12" t="s">
        <v>12</v>
      </c>
      <c r="J4" s="13">
        <f>SUM(J2:J3)</f>
        <v>449</v>
      </c>
      <c r="K4" s="14">
        <f t="shared" si="0"/>
        <v>1</v>
      </c>
    </row>
    <row r="5" spans="2:11" x14ac:dyDescent="0.2">
      <c r="B5" s="3">
        <v>2003</v>
      </c>
      <c r="C5" s="3">
        <v>0</v>
      </c>
      <c r="D5" s="3">
        <v>0</v>
      </c>
      <c r="E5" s="3">
        <v>4</v>
      </c>
      <c r="F5" s="4" t="s">
        <v>10</v>
      </c>
      <c r="G5" s="5" t="s">
        <v>11</v>
      </c>
    </row>
    <row r="6" spans="2:11" x14ac:dyDescent="0.2">
      <c r="B6" s="3">
        <v>2003</v>
      </c>
      <c r="C6" s="3">
        <v>0</v>
      </c>
      <c r="D6" s="3">
        <v>0</v>
      </c>
      <c r="E6" s="3">
        <v>5</v>
      </c>
      <c r="F6" s="4" t="s">
        <v>13</v>
      </c>
      <c r="G6" s="15" t="s">
        <v>11</v>
      </c>
    </row>
    <row r="7" spans="2:11" x14ac:dyDescent="0.2">
      <c r="B7" s="3">
        <v>2003</v>
      </c>
      <c r="C7" s="3">
        <v>0</v>
      </c>
      <c r="D7" s="3">
        <v>0</v>
      </c>
      <c r="E7" s="3">
        <v>6</v>
      </c>
      <c r="F7" s="4" t="s">
        <v>13</v>
      </c>
      <c r="G7" s="15" t="s">
        <v>11</v>
      </c>
    </row>
    <row r="8" spans="2:11" x14ac:dyDescent="0.2">
      <c r="B8" s="3">
        <v>2003</v>
      </c>
      <c r="C8" s="3">
        <v>0</v>
      </c>
      <c r="D8" s="3">
        <v>0</v>
      </c>
      <c r="E8" s="3">
        <v>7</v>
      </c>
      <c r="F8" s="4" t="s">
        <v>13</v>
      </c>
      <c r="G8" s="15" t="s">
        <v>11</v>
      </c>
    </row>
    <row r="9" spans="2:11" x14ac:dyDescent="0.2">
      <c r="B9" s="3">
        <v>2003</v>
      </c>
      <c r="C9" s="3">
        <v>0</v>
      </c>
      <c r="D9" s="3">
        <v>0</v>
      </c>
      <c r="E9" s="3">
        <v>8</v>
      </c>
      <c r="F9" s="4" t="s">
        <v>13</v>
      </c>
      <c r="G9" s="15" t="s">
        <v>11</v>
      </c>
    </row>
    <row r="10" spans="2:11" x14ac:dyDescent="0.2">
      <c r="B10" s="3">
        <v>2003</v>
      </c>
      <c r="C10" s="3">
        <v>0</v>
      </c>
      <c r="D10" s="3">
        <v>0</v>
      </c>
      <c r="E10" s="3">
        <v>9</v>
      </c>
      <c r="F10" s="4" t="s">
        <v>14</v>
      </c>
      <c r="G10" s="15" t="s">
        <v>15</v>
      </c>
    </row>
    <row r="11" spans="2:11" x14ac:dyDescent="0.2">
      <c r="B11" s="3">
        <v>2003</v>
      </c>
      <c r="C11" s="3">
        <v>0</v>
      </c>
      <c r="D11" s="3">
        <v>0</v>
      </c>
      <c r="E11" s="3">
        <v>10</v>
      </c>
      <c r="F11" s="4" t="s">
        <v>14</v>
      </c>
      <c r="G11" s="15" t="s">
        <v>15</v>
      </c>
    </row>
    <row r="12" spans="2:11" x14ac:dyDescent="0.2">
      <c r="B12" s="3">
        <v>2003</v>
      </c>
      <c r="C12" s="3">
        <v>0</v>
      </c>
      <c r="D12" s="3">
        <v>0</v>
      </c>
      <c r="E12" s="3">
        <v>11</v>
      </c>
      <c r="F12" s="4" t="s">
        <v>14</v>
      </c>
      <c r="G12" s="15" t="s">
        <v>15</v>
      </c>
    </row>
    <row r="13" spans="2:11" x14ac:dyDescent="0.2">
      <c r="B13" s="3">
        <v>2003</v>
      </c>
      <c r="C13" s="3">
        <v>0</v>
      </c>
      <c r="D13" s="3">
        <v>0</v>
      </c>
      <c r="E13" s="3">
        <v>12</v>
      </c>
      <c r="F13" s="4" t="s">
        <v>14</v>
      </c>
      <c r="G13" s="15" t="s">
        <v>15</v>
      </c>
    </row>
    <row r="14" spans="2:11" x14ac:dyDescent="0.2">
      <c r="B14" s="3">
        <v>2003</v>
      </c>
      <c r="C14" s="3">
        <v>0</v>
      </c>
      <c r="D14" s="3">
        <v>0</v>
      </c>
      <c r="E14" s="3">
        <v>13</v>
      </c>
      <c r="F14" s="4" t="s">
        <v>16</v>
      </c>
      <c r="G14" s="15" t="s">
        <v>15</v>
      </c>
    </row>
    <row r="15" spans="2:11" x14ac:dyDescent="0.2">
      <c r="B15" s="3">
        <v>2003</v>
      </c>
      <c r="C15" s="3">
        <v>0</v>
      </c>
      <c r="D15" s="3">
        <v>0</v>
      </c>
      <c r="E15" s="3">
        <v>14</v>
      </c>
      <c r="F15" s="4" t="s">
        <v>16</v>
      </c>
      <c r="G15" s="15" t="s">
        <v>15</v>
      </c>
    </row>
    <row r="16" spans="2:11" x14ac:dyDescent="0.2">
      <c r="B16" s="3">
        <v>2003</v>
      </c>
      <c r="C16" s="3">
        <v>0</v>
      </c>
      <c r="D16" s="3">
        <v>0</v>
      </c>
      <c r="E16" s="3">
        <v>15</v>
      </c>
      <c r="F16" s="4" t="s">
        <v>16</v>
      </c>
      <c r="G16" s="15" t="s">
        <v>15</v>
      </c>
    </row>
    <row r="17" spans="2:7" x14ac:dyDescent="0.2">
      <c r="B17" s="3">
        <v>2003</v>
      </c>
      <c r="C17" s="3">
        <v>0</v>
      </c>
      <c r="D17" s="3">
        <v>0</v>
      </c>
      <c r="E17" s="3">
        <v>16</v>
      </c>
      <c r="F17" s="4" t="s">
        <v>16</v>
      </c>
      <c r="G17" s="15" t="s">
        <v>15</v>
      </c>
    </row>
    <row r="18" spans="2:7" x14ac:dyDescent="0.2">
      <c r="B18" s="3">
        <v>2004</v>
      </c>
      <c r="C18" s="3">
        <v>0</v>
      </c>
      <c r="D18" s="3">
        <v>0</v>
      </c>
      <c r="E18" s="3">
        <v>1</v>
      </c>
      <c r="F18" s="4" t="s">
        <v>17</v>
      </c>
      <c r="G18" s="5" t="s">
        <v>18</v>
      </c>
    </row>
    <row r="19" spans="2:7" x14ac:dyDescent="0.2">
      <c r="B19" s="3">
        <v>2004</v>
      </c>
      <c r="C19" s="3">
        <v>0</v>
      </c>
      <c r="D19" s="3">
        <v>0</v>
      </c>
      <c r="E19" s="3">
        <v>2</v>
      </c>
      <c r="F19" s="4" t="s">
        <v>17</v>
      </c>
      <c r="G19" s="5" t="s">
        <v>18</v>
      </c>
    </row>
    <row r="20" spans="2:7" x14ac:dyDescent="0.2">
      <c r="B20" s="3">
        <v>2004</v>
      </c>
      <c r="C20" s="3">
        <v>0</v>
      </c>
      <c r="D20" s="3">
        <v>0</v>
      </c>
      <c r="E20" s="3">
        <v>3</v>
      </c>
      <c r="F20" s="4" t="s">
        <v>17</v>
      </c>
      <c r="G20" s="15" t="s">
        <v>15</v>
      </c>
    </row>
    <row r="21" spans="2:7" x14ac:dyDescent="0.2">
      <c r="B21" s="3">
        <v>2004</v>
      </c>
      <c r="C21" s="3">
        <v>0</v>
      </c>
      <c r="D21" s="3">
        <v>0</v>
      </c>
      <c r="E21" s="3">
        <v>4</v>
      </c>
      <c r="F21" s="4" t="s">
        <v>17</v>
      </c>
      <c r="G21" s="15" t="s">
        <v>15</v>
      </c>
    </row>
    <row r="22" spans="2:7" x14ac:dyDescent="0.2">
      <c r="B22" s="3">
        <v>2004</v>
      </c>
      <c r="C22" s="3">
        <v>0</v>
      </c>
      <c r="D22" s="3">
        <v>0</v>
      </c>
      <c r="E22" s="3">
        <v>5</v>
      </c>
      <c r="F22" s="4" t="s">
        <v>19</v>
      </c>
      <c r="G22" s="15" t="s">
        <v>7</v>
      </c>
    </row>
    <row r="23" spans="2:7" x14ac:dyDescent="0.2">
      <c r="B23" s="3">
        <v>2004</v>
      </c>
      <c r="C23" s="3">
        <v>0</v>
      </c>
      <c r="D23" s="3">
        <v>0</v>
      </c>
      <c r="E23" s="3">
        <v>6</v>
      </c>
      <c r="F23" s="4" t="s">
        <v>19</v>
      </c>
      <c r="G23" s="15" t="s">
        <v>7</v>
      </c>
    </row>
    <row r="24" spans="2:7" x14ac:dyDescent="0.2">
      <c r="B24" s="3">
        <v>2004</v>
      </c>
      <c r="C24" s="3">
        <v>0</v>
      </c>
      <c r="D24" s="3">
        <v>0</v>
      </c>
      <c r="E24" s="3">
        <v>7</v>
      </c>
      <c r="F24" s="4" t="s">
        <v>19</v>
      </c>
      <c r="G24" s="15" t="s">
        <v>7</v>
      </c>
    </row>
    <row r="25" spans="2:7" x14ac:dyDescent="0.2">
      <c r="B25" s="3">
        <v>2004</v>
      </c>
      <c r="C25" s="3">
        <v>0</v>
      </c>
      <c r="D25" s="3">
        <v>0</v>
      </c>
      <c r="E25" s="3">
        <v>8</v>
      </c>
      <c r="F25" s="4" t="s">
        <v>20</v>
      </c>
      <c r="G25" s="15" t="s">
        <v>7</v>
      </c>
    </row>
    <row r="26" spans="2:7" x14ac:dyDescent="0.2">
      <c r="B26" s="3">
        <v>2004</v>
      </c>
      <c r="C26" s="3">
        <v>0</v>
      </c>
      <c r="D26" s="3">
        <v>0</v>
      </c>
      <c r="E26" s="3">
        <v>9</v>
      </c>
      <c r="F26" s="4" t="s">
        <v>20</v>
      </c>
      <c r="G26" s="15" t="s">
        <v>7</v>
      </c>
    </row>
    <row r="27" spans="2:7" x14ac:dyDescent="0.2">
      <c r="B27" s="3">
        <v>2004</v>
      </c>
      <c r="C27" s="3">
        <v>0</v>
      </c>
      <c r="D27" s="3">
        <v>0</v>
      </c>
      <c r="E27" s="3">
        <v>10</v>
      </c>
      <c r="F27" s="4" t="s">
        <v>20</v>
      </c>
      <c r="G27" s="15" t="s">
        <v>7</v>
      </c>
    </row>
    <row r="28" spans="2:7" x14ac:dyDescent="0.2">
      <c r="B28" s="3">
        <v>2004</v>
      </c>
      <c r="C28" s="3">
        <v>0</v>
      </c>
      <c r="D28" s="3">
        <v>0</v>
      </c>
      <c r="E28" s="3">
        <v>11</v>
      </c>
      <c r="F28" s="4" t="s">
        <v>20</v>
      </c>
      <c r="G28" s="15" t="s">
        <v>7</v>
      </c>
    </row>
    <row r="29" spans="2:7" x14ac:dyDescent="0.2">
      <c r="B29" s="3">
        <v>2004</v>
      </c>
      <c r="C29" s="3">
        <v>0</v>
      </c>
      <c r="D29" s="3">
        <v>0</v>
      </c>
      <c r="E29" s="3">
        <v>12</v>
      </c>
      <c r="F29" s="4" t="s">
        <v>20</v>
      </c>
      <c r="G29" s="15" t="s">
        <v>7</v>
      </c>
    </row>
    <row r="30" spans="2:7" x14ac:dyDescent="0.2">
      <c r="B30" s="3">
        <v>2004</v>
      </c>
      <c r="C30" s="3">
        <v>0</v>
      </c>
      <c r="D30" s="3">
        <v>0</v>
      </c>
      <c r="E30" s="3">
        <v>13</v>
      </c>
      <c r="F30" s="4" t="s">
        <v>21</v>
      </c>
      <c r="G30" s="15" t="s">
        <v>11</v>
      </c>
    </row>
    <row r="31" spans="2:7" x14ac:dyDescent="0.2">
      <c r="B31" s="3">
        <v>2004</v>
      </c>
      <c r="C31" s="3">
        <v>0</v>
      </c>
      <c r="D31" s="3">
        <v>0</v>
      </c>
      <c r="E31" s="3">
        <v>14</v>
      </c>
      <c r="F31" s="4" t="s">
        <v>21</v>
      </c>
      <c r="G31" s="5" t="s">
        <v>7</v>
      </c>
    </row>
    <row r="32" spans="2:7" x14ac:dyDescent="0.2">
      <c r="B32" s="3">
        <v>2004</v>
      </c>
      <c r="C32" s="3">
        <v>0</v>
      </c>
      <c r="D32" s="3">
        <v>0</v>
      </c>
      <c r="E32" s="3">
        <v>15</v>
      </c>
      <c r="F32" s="4" t="s">
        <v>22</v>
      </c>
      <c r="G32" s="5" t="s">
        <v>11</v>
      </c>
    </row>
    <row r="33" spans="2:7" x14ac:dyDescent="0.2">
      <c r="B33" s="3">
        <v>2004</v>
      </c>
      <c r="C33" s="3">
        <v>0</v>
      </c>
      <c r="D33" s="3">
        <v>0</v>
      </c>
      <c r="E33" s="3">
        <v>16</v>
      </c>
      <c r="F33" s="4" t="s">
        <v>22</v>
      </c>
      <c r="G33" s="5" t="s">
        <v>11</v>
      </c>
    </row>
    <row r="34" spans="2:7" x14ac:dyDescent="0.2">
      <c r="B34" s="3">
        <v>2004</v>
      </c>
      <c r="C34" s="3">
        <v>0</v>
      </c>
      <c r="D34" s="3">
        <v>0</v>
      </c>
      <c r="E34" s="3">
        <v>17</v>
      </c>
      <c r="F34" s="4" t="s">
        <v>22</v>
      </c>
      <c r="G34" s="5" t="s">
        <v>11</v>
      </c>
    </row>
    <row r="35" spans="2:7" x14ac:dyDescent="0.2">
      <c r="B35" s="3">
        <v>2004</v>
      </c>
      <c r="C35" s="3">
        <v>0</v>
      </c>
      <c r="D35" s="3">
        <v>0</v>
      </c>
      <c r="E35" s="3">
        <v>18</v>
      </c>
      <c r="F35" s="4" t="s">
        <v>23</v>
      </c>
      <c r="G35" s="5" t="s">
        <v>11</v>
      </c>
    </row>
    <row r="36" spans="2:7" x14ac:dyDescent="0.2">
      <c r="B36" s="3">
        <v>2004</v>
      </c>
      <c r="C36" s="3">
        <v>0</v>
      </c>
      <c r="D36" s="3">
        <v>0</v>
      </c>
      <c r="E36" s="3">
        <v>19</v>
      </c>
      <c r="F36" s="4" t="s">
        <v>23</v>
      </c>
      <c r="G36" s="5" t="s">
        <v>11</v>
      </c>
    </row>
    <row r="37" spans="2:7" x14ac:dyDescent="0.2">
      <c r="B37" s="3">
        <v>2004</v>
      </c>
      <c r="C37" s="3">
        <v>0</v>
      </c>
      <c r="D37" s="3">
        <v>0</v>
      </c>
      <c r="E37" s="3">
        <v>20</v>
      </c>
      <c r="F37" s="4" t="s">
        <v>23</v>
      </c>
      <c r="G37" s="5" t="s">
        <v>11</v>
      </c>
    </row>
    <row r="38" spans="2:7" x14ac:dyDescent="0.2">
      <c r="B38" s="3">
        <v>2005</v>
      </c>
      <c r="C38" s="3">
        <v>1</v>
      </c>
      <c r="D38" s="3">
        <v>0</v>
      </c>
      <c r="E38" s="3">
        <v>1</v>
      </c>
      <c r="F38" s="4" t="s">
        <v>24</v>
      </c>
      <c r="G38" s="5" t="s">
        <v>15</v>
      </c>
    </row>
    <row r="39" spans="2:7" x14ac:dyDescent="0.2">
      <c r="B39" s="3">
        <v>2005</v>
      </c>
      <c r="C39" s="3">
        <v>1</v>
      </c>
      <c r="D39" s="3">
        <v>0</v>
      </c>
      <c r="E39" s="3">
        <v>2</v>
      </c>
      <c r="F39" s="4" t="s">
        <v>24</v>
      </c>
      <c r="G39" s="5" t="s">
        <v>15</v>
      </c>
    </row>
    <row r="40" spans="2:7" x14ac:dyDescent="0.2">
      <c r="B40" s="3">
        <v>2005</v>
      </c>
      <c r="C40" s="3">
        <v>1</v>
      </c>
      <c r="D40" s="3">
        <v>0</v>
      </c>
      <c r="E40" s="3">
        <v>3</v>
      </c>
      <c r="F40" s="4" t="s">
        <v>24</v>
      </c>
      <c r="G40" s="5" t="s">
        <v>15</v>
      </c>
    </row>
    <row r="41" spans="2:7" x14ac:dyDescent="0.2">
      <c r="B41" s="3">
        <v>2005</v>
      </c>
      <c r="C41" s="3">
        <v>1</v>
      </c>
      <c r="D41" s="3">
        <v>0</v>
      </c>
      <c r="E41" s="3">
        <v>4</v>
      </c>
      <c r="F41" s="4" t="s">
        <v>24</v>
      </c>
      <c r="G41" s="5" t="s">
        <v>15</v>
      </c>
    </row>
    <row r="42" spans="2:7" x14ac:dyDescent="0.2">
      <c r="B42" s="3">
        <v>2005</v>
      </c>
      <c r="C42" s="3">
        <v>1</v>
      </c>
      <c r="D42" s="3">
        <v>0</v>
      </c>
      <c r="E42" s="3">
        <v>5</v>
      </c>
      <c r="F42" s="4" t="s">
        <v>24</v>
      </c>
      <c r="G42" s="5" t="s">
        <v>15</v>
      </c>
    </row>
    <row r="43" spans="2:7" x14ac:dyDescent="0.2">
      <c r="B43" s="3">
        <v>2005</v>
      </c>
      <c r="C43" s="3">
        <v>1</v>
      </c>
      <c r="D43" s="3">
        <v>0</v>
      </c>
      <c r="E43" s="3">
        <v>6</v>
      </c>
      <c r="F43" s="4" t="s">
        <v>24</v>
      </c>
      <c r="G43" s="5" t="s">
        <v>15</v>
      </c>
    </row>
    <row r="44" spans="2:7" x14ac:dyDescent="0.2">
      <c r="B44" s="3">
        <v>2005</v>
      </c>
      <c r="C44" s="3">
        <v>1</v>
      </c>
      <c r="D44" s="3">
        <v>0</v>
      </c>
      <c r="E44" s="3">
        <v>7</v>
      </c>
      <c r="F44" s="4" t="s">
        <v>25</v>
      </c>
      <c r="G44" s="5" t="s">
        <v>18</v>
      </c>
    </row>
    <row r="45" spans="2:7" x14ac:dyDescent="0.2">
      <c r="B45" s="3">
        <v>2005</v>
      </c>
      <c r="C45" s="3">
        <v>1</v>
      </c>
      <c r="D45" s="3">
        <v>0</v>
      </c>
      <c r="E45" s="3">
        <v>8</v>
      </c>
      <c r="F45" s="4" t="s">
        <v>25</v>
      </c>
      <c r="G45" s="5" t="s">
        <v>18</v>
      </c>
    </row>
    <row r="46" spans="2:7" x14ac:dyDescent="0.2">
      <c r="B46" s="3">
        <v>2005</v>
      </c>
      <c r="C46" s="3">
        <v>1</v>
      </c>
      <c r="D46" s="3">
        <v>0</v>
      </c>
      <c r="E46" s="3">
        <v>9</v>
      </c>
      <c r="F46" s="4" t="s">
        <v>25</v>
      </c>
      <c r="G46" s="5" t="s">
        <v>18</v>
      </c>
    </row>
    <row r="47" spans="2:7" x14ac:dyDescent="0.2">
      <c r="B47" s="3">
        <v>2005</v>
      </c>
      <c r="C47" s="3">
        <v>1</v>
      </c>
      <c r="D47" s="3">
        <v>0</v>
      </c>
      <c r="E47" s="3">
        <v>10</v>
      </c>
      <c r="F47" s="4" t="s">
        <v>25</v>
      </c>
      <c r="G47" s="5" t="s">
        <v>18</v>
      </c>
    </row>
    <row r="48" spans="2:7" x14ac:dyDescent="0.2">
      <c r="B48" s="3">
        <v>2005</v>
      </c>
      <c r="C48" s="3">
        <v>1</v>
      </c>
      <c r="D48" s="3">
        <v>0</v>
      </c>
      <c r="E48" s="3">
        <v>11</v>
      </c>
      <c r="F48" s="4" t="s">
        <v>25</v>
      </c>
      <c r="G48" s="5" t="s">
        <v>18</v>
      </c>
    </row>
    <row r="49" spans="2:7" x14ac:dyDescent="0.2">
      <c r="B49" s="3">
        <v>2005</v>
      </c>
      <c r="C49" s="3">
        <v>1</v>
      </c>
      <c r="D49" s="3">
        <v>0</v>
      </c>
      <c r="E49" s="3">
        <v>12</v>
      </c>
      <c r="F49" s="4" t="s">
        <v>25</v>
      </c>
      <c r="G49" s="5" t="s">
        <v>18</v>
      </c>
    </row>
    <row r="50" spans="2:7" x14ac:dyDescent="0.2">
      <c r="B50" s="3">
        <v>2005</v>
      </c>
      <c r="C50" s="3">
        <v>1</v>
      </c>
      <c r="D50" s="3">
        <v>0</v>
      </c>
      <c r="E50" s="3">
        <v>13</v>
      </c>
      <c r="F50" s="4" t="s">
        <v>26</v>
      </c>
      <c r="G50" s="15" t="s">
        <v>7</v>
      </c>
    </row>
    <row r="51" spans="2:7" x14ac:dyDescent="0.2">
      <c r="B51" s="3">
        <v>2005</v>
      </c>
      <c r="C51" s="3">
        <v>1</v>
      </c>
      <c r="D51" s="3">
        <v>0</v>
      </c>
      <c r="E51" s="3">
        <v>14</v>
      </c>
      <c r="F51" s="4" t="s">
        <v>26</v>
      </c>
      <c r="G51" s="15" t="s">
        <v>7</v>
      </c>
    </row>
    <row r="52" spans="2:7" x14ac:dyDescent="0.2">
      <c r="B52" s="3">
        <v>2005</v>
      </c>
      <c r="C52" s="3">
        <v>1</v>
      </c>
      <c r="D52" s="3">
        <v>0</v>
      </c>
      <c r="E52" s="3">
        <v>15</v>
      </c>
      <c r="F52" s="4" t="s">
        <v>26</v>
      </c>
      <c r="G52" s="15" t="s">
        <v>7</v>
      </c>
    </row>
    <row r="53" spans="2:7" x14ac:dyDescent="0.2">
      <c r="B53" s="3">
        <v>2005</v>
      </c>
      <c r="C53" s="3">
        <v>1</v>
      </c>
      <c r="D53" s="3">
        <v>0</v>
      </c>
      <c r="E53" s="3">
        <v>16</v>
      </c>
      <c r="F53" s="4" t="s">
        <v>26</v>
      </c>
      <c r="G53" s="15" t="s">
        <v>7</v>
      </c>
    </row>
    <row r="54" spans="2:7" x14ac:dyDescent="0.2">
      <c r="B54" s="3">
        <v>2005</v>
      </c>
      <c r="C54" s="3">
        <v>1</v>
      </c>
      <c r="D54" s="3">
        <v>0</v>
      </c>
      <c r="E54" s="3">
        <v>17</v>
      </c>
      <c r="F54" s="4" t="s">
        <v>26</v>
      </c>
      <c r="G54" s="15" t="s">
        <v>7</v>
      </c>
    </row>
    <row r="55" spans="2:7" x14ac:dyDescent="0.2">
      <c r="B55" s="3">
        <v>2005</v>
      </c>
      <c r="C55" s="3">
        <v>1</v>
      </c>
      <c r="D55" s="3">
        <v>0</v>
      </c>
      <c r="E55" s="3">
        <v>18</v>
      </c>
      <c r="F55" s="4" t="s">
        <v>26</v>
      </c>
      <c r="G55" s="15" t="s">
        <v>7</v>
      </c>
    </row>
    <row r="56" spans="2:7" x14ac:dyDescent="0.2">
      <c r="B56" s="3">
        <v>2005</v>
      </c>
      <c r="C56" s="3">
        <v>1</v>
      </c>
      <c r="D56" s="3">
        <v>0</v>
      </c>
      <c r="E56" s="3">
        <v>19</v>
      </c>
      <c r="F56" s="4" t="s">
        <v>27</v>
      </c>
      <c r="G56" s="5" t="s">
        <v>11</v>
      </c>
    </row>
    <row r="57" spans="2:7" x14ac:dyDescent="0.2">
      <c r="B57" s="3">
        <v>2005</v>
      </c>
      <c r="C57" s="3">
        <v>1</v>
      </c>
      <c r="D57" s="3">
        <v>0</v>
      </c>
      <c r="E57" s="3">
        <v>20</v>
      </c>
      <c r="F57" s="4" t="s">
        <v>27</v>
      </c>
      <c r="G57" s="5" t="s">
        <v>11</v>
      </c>
    </row>
    <row r="58" spans="2:7" x14ac:dyDescent="0.2">
      <c r="B58" s="3">
        <v>2005</v>
      </c>
      <c r="C58" s="3">
        <v>2</v>
      </c>
      <c r="D58" s="3">
        <v>0</v>
      </c>
      <c r="E58" s="3">
        <v>1</v>
      </c>
      <c r="F58" s="4" t="s">
        <v>24</v>
      </c>
      <c r="G58" s="5" t="s">
        <v>15</v>
      </c>
    </row>
    <row r="59" spans="2:7" x14ac:dyDescent="0.2">
      <c r="B59" s="3">
        <v>2005</v>
      </c>
      <c r="C59" s="3">
        <v>2</v>
      </c>
      <c r="D59" s="3">
        <v>0</v>
      </c>
      <c r="E59" s="3">
        <v>2</v>
      </c>
      <c r="F59" s="4" t="s">
        <v>24</v>
      </c>
      <c r="G59" s="5" t="s">
        <v>15</v>
      </c>
    </row>
    <row r="60" spans="2:7" x14ac:dyDescent="0.2">
      <c r="B60" s="3">
        <v>2005</v>
      </c>
      <c r="C60" s="3">
        <v>2</v>
      </c>
      <c r="D60" s="3">
        <v>0</v>
      </c>
      <c r="E60" s="3">
        <v>3</v>
      </c>
      <c r="F60" s="4" t="s">
        <v>24</v>
      </c>
      <c r="G60" s="5" t="s">
        <v>15</v>
      </c>
    </row>
    <row r="61" spans="2:7" x14ac:dyDescent="0.2">
      <c r="B61" s="3">
        <v>2005</v>
      </c>
      <c r="C61" s="3">
        <v>2</v>
      </c>
      <c r="D61" s="3">
        <v>0</v>
      </c>
      <c r="E61" s="3">
        <v>4</v>
      </c>
      <c r="F61" s="4" t="s">
        <v>24</v>
      </c>
      <c r="G61" s="5" t="s">
        <v>15</v>
      </c>
    </row>
    <row r="62" spans="2:7" x14ac:dyDescent="0.2">
      <c r="B62" s="3">
        <v>2005</v>
      </c>
      <c r="C62" s="3">
        <v>2</v>
      </c>
      <c r="D62" s="3">
        <v>0</v>
      </c>
      <c r="E62" s="3">
        <v>5</v>
      </c>
      <c r="F62" s="4" t="s">
        <v>24</v>
      </c>
      <c r="G62" s="5" t="s">
        <v>15</v>
      </c>
    </row>
    <row r="63" spans="2:7" x14ac:dyDescent="0.2">
      <c r="B63" s="3">
        <v>2005</v>
      </c>
      <c r="C63" s="3">
        <v>2</v>
      </c>
      <c r="D63" s="3">
        <v>0</v>
      </c>
      <c r="E63" s="3">
        <v>6</v>
      </c>
      <c r="F63" s="4" t="s">
        <v>24</v>
      </c>
      <c r="G63" s="5" t="s">
        <v>15</v>
      </c>
    </row>
    <row r="64" spans="2:7" x14ac:dyDescent="0.2">
      <c r="B64" s="3">
        <v>2005</v>
      </c>
      <c r="C64" s="3">
        <v>2</v>
      </c>
      <c r="D64" s="3">
        <v>0</v>
      </c>
      <c r="E64" s="3">
        <v>7</v>
      </c>
      <c r="F64" s="4" t="s">
        <v>28</v>
      </c>
      <c r="G64" s="5" t="s">
        <v>18</v>
      </c>
    </row>
    <row r="65" spans="2:7" x14ac:dyDescent="0.2">
      <c r="B65" s="3">
        <v>2005</v>
      </c>
      <c r="C65" s="3">
        <v>2</v>
      </c>
      <c r="D65" s="3">
        <v>0</v>
      </c>
      <c r="E65" s="3">
        <v>8</v>
      </c>
      <c r="F65" s="4" t="s">
        <v>28</v>
      </c>
      <c r="G65" s="5" t="s">
        <v>18</v>
      </c>
    </row>
    <row r="66" spans="2:7" x14ac:dyDescent="0.2">
      <c r="B66" s="3">
        <v>2005</v>
      </c>
      <c r="C66" s="3">
        <v>2</v>
      </c>
      <c r="D66" s="3">
        <v>0</v>
      </c>
      <c r="E66" s="3">
        <v>9</v>
      </c>
      <c r="F66" s="4" t="s">
        <v>28</v>
      </c>
      <c r="G66" s="5" t="s">
        <v>18</v>
      </c>
    </row>
    <row r="67" spans="2:7" x14ac:dyDescent="0.2">
      <c r="B67" s="3">
        <v>2005</v>
      </c>
      <c r="C67" s="3">
        <v>2</v>
      </c>
      <c r="D67" s="3">
        <v>0</v>
      </c>
      <c r="E67" s="3">
        <v>10</v>
      </c>
      <c r="F67" s="4" t="s">
        <v>28</v>
      </c>
      <c r="G67" s="5" t="s">
        <v>18</v>
      </c>
    </row>
    <row r="68" spans="2:7" x14ac:dyDescent="0.2">
      <c r="B68" s="3">
        <v>2005</v>
      </c>
      <c r="C68" s="3">
        <v>2</v>
      </c>
      <c r="D68" s="3">
        <v>0</v>
      </c>
      <c r="E68" s="3">
        <v>11</v>
      </c>
      <c r="F68" s="4" t="s">
        <v>28</v>
      </c>
      <c r="G68" s="5" t="s">
        <v>18</v>
      </c>
    </row>
    <row r="69" spans="2:7" x14ac:dyDescent="0.2">
      <c r="B69" s="3">
        <v>2005</v>
      </c>
      <c r="C69" s="3">
        <v>2</v>
      </c>
      <c r="D69" s="3">
        <v>0</v>
      </c>
      <c r="E69" s="3">
        <v>12</v>
      </c>
      <c r="F69" s="4" t="s">
        <v>28</v>
      </c>
      <c r="G69" s="5" t="s">
        <v>18</v>
      </c>
    </row>
    <row r="70" spans="2:7" x14ac:dyDescent="0.2">
      <c r="B70" s="3">
        <v>2005</v>
      </c>
      <c r="C70" s="3">
        <v>2</v>
      </c>
      <c r="D70" s="3">
        <v>0</v>
      </c>
      <c r="E70" s="3">
        <v>13</v>
      </c>
      <c r="F70" s="4" t="s">
        <v>29</v>
      </c>
      <c r="G70" s="5" t="s">
        <v>15</v>
      </c>
    </row>
    <row r="71" spans="2:7" x14ac:dyDescent="0.2">
      <c r="B71" s="3">
        <v>2005</v>
      </c>
      <c r="C71" s="3">
        <v>2</v>
      </c>
      <c r="D71" s="3">
        <v>0</v>
      </c>
      <c r="E71" s="3">
        <v>14</v>
      </c>
      <c r="F71" s="4" t="s">
        <v>29</v>
      </c>
      <c r="G71" s="5" t="s">
        <v>15</v>
      </c>
    </row>
    <row r="72" spans="2:7" x14ac:dyDescent="0.2">
      <c r="B72" s="3">
        <v>2005</v>
      </c>
      <c r="C72" s="3">
        <v>2</v>
      </c>
      <c r="D72" s="3">
        <v>0</v>
      </c>
      <c r="E72" s="3">
        <v>15</v>
      </c>
      <c r="F72" s="4" t="s">
        <v>29</v>
      </c>
      <c r="G72" s="5" t="s">
        <v>15</v>
      </c>
    </row>
    <row r="73" spans="2:7" x14ac:dyDescent="0.2">
      <c r="B73" s="3">
        <v>2005</v>
      </c>
      <c r="C73" s="3">
        <v>2</v>
      </c>
      <c r="D73" s="3">
        <v>0</v>
      </c>
      <c r="E73" s="3">
        <v>16</v>
      </c>
      <c r="F73" s="4" t="s">
        <v>29</v>
      </c>
      <c r="G73" s="5" t="s">
        <v>15</v>
      </c>
    </row>
    <row r="74" spans="2:7" x14ac:dyDescent="0.2">
      <c r="B74" s="3">
        <v>2005</v>
      </c>
      <c r="C74" s="3">
        <v>2</v>
      </c>
      <c r="D74" s="3">
        <v>0</v>
      </c>
      <c r="E74" s="3">
        <v>17</v>
      </c>
      <c r="F74" s="4" t="s">
        <v>29</v>
      </c>
      <c r="G74" s="5" t="s">
        <v>15</v>
      </c>
    </row>
    <row r="75" spans="2:7" x14ac:dyDescent="0.2">
      <c r="B75" s="3">
        <v>2005</v>
      </c>
      <c r="C75" s="3">
        <v>2</v>
      </c>
      <c r="D75" s="3">
        <v>0</v>
      </c>
      <c r="E75" s="3">
        <v>18</v>
      </c>
      <c r="F75" s="4" t="s">
        <v>29</v>
      </c>
      <c r="G75" s="5" t="s">
        <v>15</v>
      </c>
    </row>
    <row r="76" spans="2:7" x14ac:dyDescent="0.2">
      <c r="B76" s="3">
        <v>2005</v>
      </c>
      <c r="C76" s="3">
        <v>2</v>
      </c>
      <c r="D76" s="3">
        <v>0</v>
      </c>
      <c r="E76" s="3">
        <v>19</v>
      </c>
      <c r="F76" s="4" t="s">
        <v>27</v>
      </c>
      <c r="G76" s="5" t="s">
        <v>11</v>
      </c>
    </row>
    <row r="77" spans="2:7" x14ac:dyDescent="0.2">
      <c r="B77" s="3">
        <v>2005</v>
      </c>
      <c r="C77" s="3">
        <v>2</v>
      </c>
      <c r="D77" s="3">
        <v>0</v>
      </c>
      <c r="E77" s="3">
        <v>20</v>
      </c>
      <c r="F77" s="4" t="s">
        <v>27</v>
      </c>
      <c r="G77" s="5" t="s">
        <v>11</v>
      </c>
    </row>
    <row r="78" spans="2:7" x14ac:dyDescent="0.2">
      <c r="B78" s="3">
        <v>2005</v>
      </c>
      <c r="C78" s="3">
        <v>2</v>
      </c>
      <c r="D78" s="3">
        <v>0</v>
      </c>
      <c r="E78" s="3">
        <v>21</v>
      </c>
      <c r="F78" s="4" t="s">
        <v>27</v>
      </c>
      <c r="G78" s="5" t="s">
        <v>11</v>
      </c>
    </row>
    <row r="79" spans="2:7" x14ac:dyDescent="0.2">
      <c r="B79" s="3">
        <v>2005</v>
      </c>
      <c r="C79" s="3">
        <v>2</v>
      </c>
      <c r="D79" s="3">
        <v>0</v>
      </c>
      <c r="E79" s="3">
        <v>22</v>
      </c>
      <c r="F79" s="4" t="s">
        <v>27</v>
      </c>
      <c r="G79" s="5" t="s">
        <v>11</v>
      </c>
    </row>
    <row r="80" spans="2:7" x14ac:dyDescent="0.2">
      <c r="B80" s="3">
        <v>2006</v>
      </c>
      <c r="C80" s="3">
        <v>1</v>
      </c>
      <c r="D80" s="3">
        <v>1</v>
      </c>
      <c r="E80" s="3">
        <v>1</v>
      </c>
      <c r="F80" s="4" t="s">
        <v>30</v>
      </c>
      <c r="G80" s="5" t="s">
        <v>18</v>
      </c>
    </row>
    <row r="81" spans="2:7" x14ac:dyDescent="0.2">
      <c r="B81" s="3">
        <v>2006</v>
      </c>
      <c r="C81" s="3">
        <v>1</v>
      </c>
      <c r="D81" s="3">
        <v>1</v>
      </c>
      <c r="E81" s="3">
        <v>2</v>
      </c>
      <c r="F81" s="4" t="s">
        <v>30</v>
      </c>
      <c r="G81" s="5" t="s">
        <v>18</v>
      </c>
    </row>
    <row r="82" spans="2:7" x14ac:dyDescent="0.2">
      <c r="B82" s="3">
        <v>2006</v>
      </c>
      <c r="C82" s="3">
        <v>1</v>
      </c>
      <c r="D82" s="3">
        <v>1</v>
      </c>
      <c r="E82" s="3">
        <v>3</v>
      </c>
      <c r="F82" s="4" t="s">
        <v>30</v>
      </c>
      <c r="G82" s="5" t="s">
        <v>18</v>
      </c>
    </row>
    <row r="83" spans="2:7" x14ac:dyDescent="0.2">
      <c r="B83" s="3">
        <v>2006</v>
      </c>
      <c r="C83" s="3">
        <v>1</v>
      </c>
      <c r="D83" s="3">
        <v>1</v>
      </c>
      <c r="E83" s="3">
        <v>4</v>
      </c>
      <c r="F83" s="4" t="s">
        <v>30</v>
      </c>
      <c r="G83" s="5" t="s">
        <v>18</v>
      </c>
    </row>
    <row r="84" spans="2:7" x14ac:dyDescent="0.2">
      <c r="B84" s="3">
        <v>2006</v>
      </c>
      <c r="C84" s="3">
        <v>1</v>
      </c>
      <c r="D84" s="3">
        <v>1</v>
      </c>
      <c r="E84" s="3">
        <v>5</v>
      </c>
      <c r="F84" s="4" t="s">
        <v>30</v>
      </c>
      <c r="G84" s="5" t="s">
        <v>18</v>
      </c>
    </row>
    <row r="85" spans="2:7" x14ac:dyDescent="0.2">
      <c r="B85" s="3">
        <v>2006</v>
      </c>
      <c r="C85" s="3">
        <v>1</v>
      </c>
      <c r="D85" s="3">
        <v>1</v>
      </c>
      <c r="E85" s="3">
        <v>6</v>
      </c>
      <c r="F85" s="4" t="s">
        <v>30</v>
      </c>
      <c r="G85" s="5" t="s">
        <v>18</v>
      </c>
    </row>
    <row r="86" spans="2:7" x14ac:dyDescent="0.2">
      <c r="B86" s="3">
        <v>2006</v>
      </c>
      <c r="C86" s="3">
        <v>1</v>
      </c>
      <c r="D86" s="3">
        <v>1</v>
      </c>
      <c r="E86" s="3">
        <v>7</v>
      </c>
      <c r="F86" s="4" t="s">
        <v>31</v>
      </c>
      <c r="G86" s="5" t="s">
        <v>11</v>
      </c>
    </row>
    <row r="87" spans="2:7" x14ac:dyDescent="0.2">
      <c r="B87" s="3">
        <v>2006</v>
      </c>
      <c r="C87" s="3">
        <v>1</v>
      </c>
      <c r="D87" s="3">
        <v>1</v>
      </c>
      <c r="E87" s="3">
        <v>8</v>
      </c>
      <c r="F87" s="4" t="s">
        <v>31</v>
      </c>
      <c r="G87" s="5" t="s">
        <v>11</v>
      </c>
    </row>
    <row r="88" spans="2:7" x14ac:dyDescent="0.2">
      <c r="B88" s="3">
        <v>2006</v>
      </c>
      <c r="C88" s="3">
        <v>1</v>
      </c>
      <c r="D88" s="3">
        <v>1</v>
      </c>
      <c r="E88" s="3">
        <v>9</v>
      </c>
      <c r="F88" s="4" t="s">
        <v>31</v>
      </c>
      <c r="G88" s="5" t="s">
        <v>11</v>
      </c>
    </row>
    <row r="89" spans="2:7" x14ac:dyDescent="0.2">
      <c r="B89" s="3">
        <v>2006</v>
      </c>
      <c r="C89" s="3">
        <v>1</v>
      </c>
      <c r="D89" s="3">
        <v>1</v>
      </c>
      <c r="E89" s="3">
        <v>10</v>
      </c>
      <c r="F89" s="4" t="s">
        <v>32</v>
      </c>
      <c r="G89" s="15" t="s">
        <v>7</v>
      </c>
    </row>
    <row r="90" spans="2:7" x14ac:dyDescent="0.2">
      <c r="B90" s="3">
        <v>2006</v>
      </c>
      <c r="C90" s="3">
        <v>1</v>
      </c>
      <c r="D90" s="3">
        <v>1</v>
      </c>
      <c r="E90" s="3">
        <v>11</v>
      </c>
      <c r="F90" s="4" t="s">
        <v>32</v>
      </c>
      <c r="G90" s="15" t="s">
        <v>7</v>
      </c>
    </row>
    <row r="91" spans="2:7" x14ac:dyDescent="0.2">
      <c r="B91" s="3">
        <v>2006</v>
      </c>
      <c r="C91" s="3">
        <v>1</v>
      </c>
      <c r="D91" s="3">
        <v>1</v>
      </c>
      <c r="E91" s="3">
        <v>12</v>
      </c>
      <c r="F91" s="4" t="s">
        <v>32</v>
      </c>
      <c r="G91" s="15" t="s">
        <v>7</v>
      </c>
    </row>
    <row r="92" spans="2:7" x14ac:dyDescent="0.2">
      <c r="B92" s="3">
        <v>2006</v>
      </c>
      <c r="C92" s="3">
        <v>1</v>
      </c>
      <c r="D92" s="3">
        <v>1</v>
      </c>
      <c r="E92" s="3">
        <v>13</v>
      </c>
      <c r="F92" s="4" t="s">
        <v>32</v>
      </c>
      <c r="G92" s="15" t="s">
        <v>7</v>
      </c>
    </row>
    <row r="93" spans="2:7" x14ac:dyDescent="0.2">
      <c r="B93" s="3">
        <v>2006</v>
      </c>
      <c r="C93" s="3">
        <v>1</v>
      </c>
      <c r="D93" s="3">
        <v>1</v>
      </c>
      <c r="E93" s="3">
        <v>14</v>
      </c>
      <c r="F93" s="4" t="s">
        <v>33</v>
      </c>
      <c r="G93" s="15" t="s">
        <v>11</v>
      </c>
    </row>
    <row r="94" spans="2:7" x14ac:dyDescent="0.2">
      <c r="B94" s="3">
        <v>2006</v>
      </c>
      <c r="C94" s="3">
        <v>1</v>
      </c>
      <c r="D94" s="3">
        <v>1</v>
      </c>
      <c r="E94" s="3">
        <v>15</v>
      </c>
      <c r="F94" s="4" t="s">
        <v>33</v>
      </c>
      <c r="G94" s="15" t="s">
        <v>11</v>
      </c>
    </row>
    <row r="95" spans="2:7" x14ac:dyDescent="0.2">
      <c r="B95" s="3">
        <v>2006</v>
      </c>
      <c r="C95" s="3">
        <v>1</v>
      </c>
      <c r="D95" s="3">
        <v>1</v>
      </c>
      <c r="E95" s="3">
        <v>16</v>
      </c>
      <c r="F95" s="4" t="s">
        <v>33</v>
      </c>
      <c r="G95" s="15" t="s">
        <v>11</v>
      </c>
    </row>
    <row r="96" spans="2:7" x14ac:dyDescent="0.2">
      <c r="B96" s="3">
        <v>2006</v>
      </c>
      <c r="C96" s="3">
        <v>2</v>
      </c>
      <c r="D96" s="3">
        <v>1</v>
      </c>
      <c r="E96" s="3">
        <v>1</v>
      </c>
      <c r="F96" s="4" t="s">
        <v>34</v>
      </c>
      <c r="G96" s="5" t="s">
        <v>18</v>
      </c>
    </row>
    <row r="97" spans="2:7" x14ac:dyDescent="0.2">
      <c r="B97" s="3">
        <v>2006</v>
      </c>
      <c r="C97" s="3">
        <v>2</v>
      </c>
      <c r="D97" s="3">
        <v>1</v>
      </c>
      <c r="E97" s="3">
        <v>2</v>
      </c>
      <c r="F97" s="4" t="s">
        <v>34</v>
      </c>
      <c r="G97" s="15" t="s">
        <v>7</v>
      </c>
    </row>
    <row r="98" spans="2:7" x14ac:dyDescent="0.2">
      <c r="B98" s="3">
        <v>2006</v>
      </c>
      <c r="C98" s="3">
        <v>2</v>
      </c>
      <c r="D98" s="3">
        <v>1</v>
      </c>
      <c r="E98" s="3">
        <v>3</v>
      </c>
      <c r="F98" s="4" t="s">
        <v>34</v>
      </c>
      <c r="G98" s="15" t="s">
        <v>7</v>
      </c>
    </row>
    <row r="99" spans="2:7" x14ac:dyDescent="0.2">
      <c r="B99" s="3">
        <v>2006</v>
      </c>
      <c r="C99" s="3">
        <v>2</v>
      </c>
      <c r="D99" s="3">
        <v>1</v>
      </c>
      <c r="E99" s="3">
        <v>4</v>
      </c>
      <c r="F99" s="4" t="s">
        <v>34</v>
      </c>
      <c r="G99" s="15" t="s">
        <v>7</v>
      </c>
    </row>
    <row r="100" spans="2:7" x14ac:dyDescent="0.2">
      <c r="B100" s="3">
        <v>2006</v>
      </c>
      <c r="C100" s="3">
        <v>2</v>
      </c>
      <c r="D100" s="3">
        <v>1</v>
      </c>
      <c r="E100" s="3">
        <v>5</v>
      </c>
      <c r="F100" s="4" t="s">
        <v>34</v>
      </c>
      <c r="G100" s="15" t="s">
        <v>7</v>
      </c>
    </row>
    <row r="101" spans="2:7" x14ac:dyDescent="0.2">
      <c r="B101" s="3">
        <v>2006</v>
      </c>
      <c r="C101" s="3">
        <v>2</v>
      </c>
      <c r="D101" s="3">
        <v>1</v>
      </c>
      <c r="E101" s="3">
        <v>6</v>
      </c>
      <c r="F101" s="4" t="s">
        <v>35</v>
      </c>
      <c r="G101" s="15" t="s">
        <v>7</v>
      </c>
    </row>
    <row r="102" spans="2:7" x14ac:dyDescent="0.2">
      <c r="B102" s="3">
        <v>2006</v>
      </c>
      <c r="C102" s="3">
        <v>2</v>
      </c>
      <c r="D102" s="3">
        <v>1</v>
      </c>
      <c r="E102" s="3">
        <v>7</v>
      </c>
      <c r="F102" s="4" t="s">
        <v>35</v>
      </c>
      <c r="G102" s="15" t="s">
        <v>7</v>
      </c>
    </row>
    <row r="103" spans="2:7" x14ac:dyDescent="0.2">
      <c r="B103" s="3">
        <v>2006</v>
      </c>
      <c r="C103" s="3">
        <v>2</v>
      </c>
      <c r="D103" s="3">
        <v>1</v>
      </c>
      <c r="E103" s="3">
        <v>8</v>
      </c>
      <c r="F103" s="4" t="s">
        <v>35</v>
      </c>
      <c r="G103" s="15" t="s">
        <v>7</v>
      </c>
    </row>
    <row r="104" spans="2:7" x14ac:dyDescent="0.2">
      <c r="B104" s="3">
        <v>2006</v>
      </c>
      <c r="C104" s="3">
        <v>2</v>
      </c>
      <c r="D104" s="3">
        <v>1</v>
      </c>
      <c r="E104" s="3">
        <v>9</v>
      </c>
      <c r="F104" s="4" t="s">
        <v>35</v>
      </c>
      <c r="G104" s="15" t="s">
        <v>7</v>
      </c>
    </row>
    <row r="105" spans="2:7" x14ac:dyDescent="0.2">
      <c r="B105" s="3">
        <v>2006</v>
      </c>
      <c r="C105" s="3">
        <v>2</v>
      </c>
      <c r="D105" s="3">
        <v>1</v>
      </c>
      <c r="E105" s="3">
        <v>10</v>
      </c>
      <c r="F105" s="4" t="s">
        <v>36</v>
      </c>
      <c r="G105" s="15" t="s">
        <v>15</v>
      </c>
    </row>
    <row r="106" spans="2:7" x14ac:dyDescent="0.2">
      <c r="B106" s="3">
        <v>2006</v>
      </c>
      <c r="C106" s="3">
        <v>2</v>
      </c>
      <c r="D106" s="3">
        <v>1</v>
      </c>
      <c r="E106" s="3">
        <v>11</v>
      </c>
      <c r="F106" s="4" t="s">
        <v>36</v>
      </c>
      <c r="G106" s="15" t="s">
        <v>15</v>
      </c>
    </row>
    <row r="107" spans="2:7" x14ac:dyDescent="0.2">
      <c r="B107" s="3">
        <v>2006</v>
      </c>
      <c r="C107" s="3">
        <v>2</v>
      </c>
      <c r="D107" s="3">
        <v>1</v>
      </c>
      <c r="E107" s="3">
        <v>12</v>
      </c>
      <c r="F107" s="4" t="s">
        <v>36</v>
      </c>
      <c r="G107" s="15" t="s">
        <v>15</v>
      </c>
    </row>
    <row r="108" spans="2:7" x14ac:dyDescent="0.2">
      <c r="B108" s="3">
        <v>2006</v>
      </c>
      <c r="C108" s="3">
        <v>2</v>
      </c>
      <c r="D108" s="3">
        <v>1</v>
      </c>
      <c r="E108" s="3">
        <v>13</v>
      </c>
      <c r="F108" s="4" t="s">
        <v>36</v>
      </c>
      <c r="G108" s="15" t="s">
        <v>15</v>
      </c>
    </row>
    <row r="109" spans="2:7" x14ac:dyDescent="0.2">
      <c r="B109" s="3">
        <v>2006</v>
      </c>
      <c r="C109" s="3">
        <v>2</v>
      </c>
      <c r="D109" s="3">
        <v>1</v>
      </c>
      <c r="E109" s="3">
        <v>14</v>
      </c>
      <c r="F109" s="4" t="s">
        <v>36</v>
      </c>
      <c r="G109" s="15" t="s">
        <v>15</v>
      </c>
    </row>
    <row r="110" spans="2:7" x14ac:dyDescent="0.2">
      <c r="B110" s="3">
        <v>2006</v>
      </c>
      <c r="C110" s="3">
        <v>2</v>
      </c>
      <c r="D110" s="3">
        <v>1</v>
      </c>
      <c r="E110" s="3">
        <v>15</v>
      </c>
      <c r="F110" s="4" t="s">
        <v>37</v>
      </c>
      <c r="G110" s="5" t="s">
        <v>11</v>
      </c>
    </row>
    <row r="111" spans="2:7" x14ac:dyDescent="0.2">
      <c r="B111" s="3">
        <v>2006</v>
      </c>
      <c r="C111" s="3">
        <v>2</v>
      </c>
      <c r="D111" s="3">
        <v>1</v>
      </c>
      <c r="E111" s="3">
        <v>16</v>
      </c>
      <c r="F111" s="4" t="s">
        <v>37</v>
      </c>
      <c r="G111" s="5" t="s">
        <v>11</v>
      </c>
    </row>
    <row r="112" spans="2:7" x14ac:dyDescent="0.2">
      <c r="B112" s="3">
        <v>2006</v>
      </c>
      <c r="C112" s="3">
        <v>2</v>
      </c>
      <c r="D112" s="3">
        <v>1</v>
      </c>
      <c r="E112" s="3">
        <v>17</v>
      </c>
      <c r="F112" s="4" t="s">
        <v>37</v>
      </c>
      <c r="G112" s="5" t="s">
        <v>11</v>
      </c>
    </row>
    <row r="113" spans="2:7" x14ac:dyDescent="0.2">
      <c r="B113" s="3">
        <v>2006</v>
      </c>
      <c r="C113" s="3">
        <v>2</v>
      </c>
      <c r="D113" s="3">
        <v>1</v>
      </c>
      <c r="E113" s="3">
        <v>18</v>
      </c>
      <c r="F113" s="4" t="s">
        <v>33</v>
      </c>
      <c r="G113" s="15" t="s">
        <v>11</v>
      </c>
    </row>
    <row r="114" spans="2:7" x14ac:dyDescent="0.2">
      <c r="B114" s="3">
        <v>2006</v>
      </c>
      <c r="C114" s="3">
        <v>2</v>
      </c>
      <c r="D114" s="3">
        <v>1</v>
      </c>
      <c r="E114" s="3">
        <v>19</v>
      </c>
      <c r="F114" s="4" t="s">
        <v>33</v>
      </c>
      <c r="G114" s="15" t="s">
        <v>11</v>
      </c>
    </row>
    <row r="115" spans="2:7" x14ac:dyDescent="0.2">
      <c r="B115" s="3">
        <v>2006</v>
      </c>
      <c r="C115" s="3">
        <v>2</v>
      </c>
      <c r="D115" s="3">
        <v>1</v>
      </c>
      <c r="E115" s="3">
        <v>20</v>
      </c>
      <c r="F115" s="4" t="s">
        <v>33</v>
      </c>
      <c r="G115" s="15" t="s">
        <v>11</v>
      </c>
    </row>
    <row r="116" spans="2:7" x14ac:dyDescent="0.2">
      <c r="B116" s="3">
        <v>2006</v>
      </c>
      <c r="C116" s="3">
        <v>2</v>
      </c>
      <c r="D116" s="3">
        <v>1</v>
      </c>
      <c r="E116" s="3">
        <v>21</v>
      </c>
      <c r="F116" s="4" t="s">
        <v>33</v>
      </c>
      <c r="G116" s="15" t="s">
        <v>11</v>
      </c>
    </row>
    <row r="117" spans="2:7" x14ac:dyDescent="0.2">
      <c r="B117" s="3">
        <v>2006</v>
      </c>
      <c r="C117" s="3">
        <v>2</v>
      </c>
      <c r="D117" s="3">
        <v>1</v>
      </c>
      <c r="E117" s="3">
        <v>22</v>
      </c>
      <c r="F117" s="4" t="s">
        <v>38</v>
      </c>
      <c r="G117" s="5" t="s">
        <v>7</v>
      </c>
    </row>
    <row r="118" spans="2:7" x14ac:dyDescent="0.2">
      <c r="B118" s="3">
        <v>2006</v>
      </c>
      <c r="C118" s="3">
        <v>1</v>
      </c>
      <c r="D118" s="3">
        <v>2</v>
      </c>
      <c r="E118" s="3">
        <v>1</v>
      </c>
      <c r="F118" s="4" t="s">
        <v>39</v>
      </c>
      <c r="G118" s="15" t="s">
        <v>7</v>
      </c>
    </row>
    <row r="119" spans="2:7" x14ac:dyDescent="0.2">
      <c r="B119" s="3">
        <v>2006</v>
      </c>
      <c r="C119" s="3">
        <v>1</v>
      </c>
      <c r="D119" s="3">
        <v>2</v>
      </c>
      <c r="E119" s="3">
        <v>2</v>
      </c>
      <c r="F119" s="4" t="s">
        <v>39</v>
      </c>
      <c r="G119" s="15" t="s">
        <v>7</v>
      </c>
    </row>
    <row r="120" spans="2:7" x14ac:dyDescent="0.2">
      <c r="B120" s="3">
        <v>2006</v>
      </c>
      <c r="C120" s="3">
        <v>1</v>
      </c>
      <c r="D120" s="3">
        <v>2</v>
      </c>
      <c r="E120" s="3">
        <v>3</v>
      </c>
      <c r="F120" s="4" t="s">
        <v>39</v>
      </c>
      <c r="G120" s="15" t="s">
        <v>7</v>
      </c>
    </row>
    <row r="121" spans="2:7" x14ac:dyDescent="0.2">
      <c r="B121" s="3">
        <v>2006</v>
      </c>
      <c r="C121" s="3">
        <v>1</v>
      </c>
      <c r="D121" s="3">
        <v>2</v>
      </c>
      <c r="E121" s="3">
        <v>4</v>
      </c>
      <c r="F121" s="4" t="s">
        <v>39</v>
      </c>
      <c r="G121" s="15" t="s">
        <v>7</v>
      </c>
    </row>
    <row r="122" spans="2:7" x14ac:dyDescent="0.2">
      <c r="B122" s="3">
        <v>2006</v>
      </c>
      <c r="C122" s="3">
        <v>1</v>
      </c>
      <c r="D122" s="3">
        <v>2</v>
      </c>
      <c r="E122" s="3">
        <v>5</v>
      </c>
      <c r="F122" s="4" t="s">
        <v>39</v>
      </c>
      <c r="G122" s="15" t="s">
        <v>7</v>
      </c>
    </row>
    <row r="123" spans="2:7" x14ac:dyDescent="0.2">
      <c r="B123" s="3">
        <v>2006</v>
      </c>
      <c r="C123" s="3">
        <v>1</v>
      </c>
      <c r="D123" s="3">
        <v>2</v>
      </c>
      <c r="E123" s="3">
        <v>6</v>
      </c>
      <c r="F123" s="4" t="s">
        <v>39</v>
      </c>
      <c r="G123" s="15" t="s">
        <v>7</v>
      </c>
    </row>
    <row r="124" spans="2:7" x14ac:dyDescent="0.2">
      <c r="B124" s="3">
        <v>2006</v>
      </c>
      <c r="C124" s="3">
        <v>1</v>
      </c>
      <c r="D124" s="3">
        <v>2</v>
      </c>
      <c r="E124" s="3">
        <v>7</v>
      </c>
      <c r="F124" s="4" t="s">
        <v>39</v>
      </c>
      <c r="G124" s="15" t="s">
        <v>7</v>
      </c>
    </row>
    <row r="125" spans="2:7" x14ac:dyDescent="0.2">
      <c r="B125" s="3">
        <v>2006</v>
      </c>
      <c r="C125" s="3">
        <v>1</v>
      </c>
      <c r="D125" s="3">
        <v>2</v>
      </c>
      <c r="E125" s="3">
        <v>8</v>
      </c>
      <c r="F125" s="4" t="s">
        <v>40</v>
      </c>
      <c r="G125" s="5" t="s">
        <v>18</v>
      </c>
    </row>
    <row r="126" spans="2:7" x14ac:dyDescent="0.2">
      <c r="B126" s="3">
        <v>2006</v>
      </c>
      <c r="C126" s="3">
        <v>1</v>
      </c>
      <c r="D126" s="3">
        <v>2</v>
      </c>
      <c r="E126" s="3">
        <v>9</v>
      </c>
      <c r="F126" s="4" t="s">
        <v>40</v>
      </c>
      <c r="G126" s="5" t="s">
        <v>18</v>
      </c>
    </row>
    <row r="127" spans="2:7" x14ac:dyDescent="0.2">
      <c r="B127" s="3">
        <v>2006</v>
      </c>
      <c r="C127" s="3">
        <v>1</v>
      </c>
      <c r="D127" s="3">
        <v>2</v>
      </c>
      <c r="E127" s="3">
        <v>10</v>
      </c>
      <c r="F127" s="4" t="s">
        <v>40</v>
      </c>
      <c r="G127" s="5" t="s">
        <v>18</v>
      </c>
    </row>
    <row r="128" spans="2:7" x14ac:dyDescent="0.2">
      <c r="B128" s="3">
        <v>2006</v>
      </c>
      <c r="C128" s="3">
        <v>1</v>
      </c>
      <c r="D128" s="3">
        <v>2</v>
      </c>
      <c r="E128" s="3">
        <v>11</v>
      </c>
      <c r="F128" s="4" t="s">
        <v>40</v>
      </c>
      <c r="G128" s="5" t="s">
        <v>18</v>
      </c>
    </row>
    <row r="129" spans="2:7" x14ac:dyDescent="0.2">
      <c r="B129" s="3">
        <v>2006</v>
      </c>
      <c r="C129" s="3">
        <v>1</v>
      </c>
      <c r="D129" s="3">
        <v>2</v>
      </c>
      <c r="E129" s="3">
        <v>12</v>
      </c>
      <c r="F129" s="4" t="s">
        <v>40</v>
      </c>
      <c r="G129" s="5" t="s">
        <v>18</v>
      </c>
    </row>
    <row r="130" spans="2:7" x14ac:dyDescent="0.2">
      <c r="B130" s="3">
        <v>2006</v>
      </c>
      <c r="C130" s="3">
        <v>1</v>
      </c>
      <c r="D130" s="3">
        <v>2</v>
      </c>
      <c r="E130" s="3">
        <v>13</v>
      </c>
      <c r="F130" s="4" t="s">
        <v>40</v>
      </c>
      <c r="G130" s="5" t="s">
        <v>18</v>
      </c>
    </row>
    <row r="131" spans="2:7" x14ac:dyDescent="0.2">
      <c r="B131" s="3">
        <v>2006</v>
      </c>
      <c r="C131" s="3">
        <v>1</v>
      </c>
      <c r="D131" s="3">
        <v>2</v>
      </c>
      <c r="E131" s="3">
        <v>14</v>
      </c>
      <c r="F131" s="4" t="s">
        <v>41</v>
      </c>
      <c r="G131" s="15" t="s">
        <v>15</v>
      </c>
    </row>
    <row r="132" spans="2:7" x14ac:dyDescent="0.2">
      <c r="B132" s="3">
        <v>2006</v>
      </c>
      <c r="C132" s="3">
        <v>1</v>
      </c>
      <c r="D132" s="3">
        <v>2</v>
      </c>
      <c r="E132" s="3">
        <v>15</v>
      </c>
      <c r="F132" s="4" t="s">
        <v>41</v>
      </c>
      <c r="G132" s="15" t="s">
        <v>15</v>
      </c>
    </row>
    <row r="133" spans="2:7" x14ac:dyDescent="0.2">
      <c r="B133" s="3">
        <v>2006</v>
      </c>
      <c r="C133" s="3">
        <v>1</v>
      </c>
      <c r="D133" s="3">
        <v>2</v>
      </c>
      <c r="E133" s="3">
        <v>16</v>
      </c>
      <c r="F133" s="4" t="s">
        <v>41</v>
      </c>
      <c r="G133" s="15" t="s">
        <v>15</v>
      </c>
    </row>
    <row r="134" spans="2:7" x14ac:dyDescent="0.2">
      <c r="B134" s="3">
        <v>2006</v>
      </c>
      <c r="C134" s="3">
        <v>1</v>
      </c>
      <c r="D134" s="3">
        <v>2</v>
      </c>
      <c r="E134" s="3">
        <v>17</v>
      </c>
      <c r="F134" s="4" t="s">
        <v>41</v>
      </c>
      <c r="G134" s="15" t="s">
        <v>15</v>
      </c>
    </row>
    <row r="135" spans="2:7" x14ac:dyDescent="0.2">
      <c r="B135" s="3">
        <v>2006</v>
      </c>
      <c r="C135" s="3">
        <v>1</v>
      </c>
      <c r="D135" s="3">
        <v>2</v>
      </c>
      <c r="E135" s="3">
        <v>18</v>
      </c>
      <c r="F135" s="4" t="s">
        <v>41</v>
      </c>
      <c r="G135" s="15" t="s">
        <v>15</v>
      </c>
    </row>
    <row r="136" spans="2:7" x14ac:dyDescent="0.2">
      <c r="B136" s="3">
        <v>2006</v>
      </c>
      <c r="C136" s="3">
        <v>1</v>
      </c>
      <c r="D136" s="3">
        <v>2</v>
      </c>
      <c r="E136" s="3">
        <v>19</v>
      </c>
      <c r="F136" s="4" t="s">
        <v>41</v>
      </c>
      <c r="G136" s="15" t="s">
        <v>15</v>
      </c>
    </row>
    <row r="137" spans="2:7" x14ac:dyDescent="0.2">
      <c r="B137" s="3">
        <v>2006</v>
      </c>
      <c r="C137" s="3">
        <v>1</v>
      </c>
      <c r="D137" s="3">
        <v>2</v>
      </c>
      <c r="E137" s="3">
        <v>20</v>
      </c>
      <c r="F137" s="4" t="s">
        <v>42</v>
      </c>
      <c r="G137" s="5" t="s">
        <v>15</v>
      </c>
    </row>
    <row r="138" spans="2:7" x14ac:dyDescent="0.2">
      <c r="B138" s="3">
        <v>2006</v>
      </c>
      <c r="C138" s="3">
        <v>1</v>
      </c>
      <c r="D138" s="3">
        <v>2</v>
      </c>
      <c r="E138" s="3">
        <v>21</v>
      </c>
      <c r="F138" s="4" t="s">
        <v>42</v>
      </c>
      <c r="G138" s="5" t="s">
        <v>15</v>
      </c>
    </row>
    <row r="139" spans="2:7" x14ac:dyDescent="0.2">
      <c r="B139" s="3">
        <v>2006</v>
      </c>
      <c r="C139" s="3">
        <v>1</v>
      </c>
      <c r="D139" s="3">
        <v>2</v>
      </c>
      <c r="E139" s="3">
        <v>22</v>
      </c>
      <c r="F139" s="4" t="s">
        <v>42</v>
      </c>
      <c r="G139" s="5" t="s">
        <v>15</v>
      </c>
    </row>
    <row r="140" spans="2:7" x14ac:dyDescent="0.2">
      <c r="B140" s="3">
        <v>2006</v>
      </c>
      <c r="C140" s="3">
        <v>1</v>
      </c>
      <c r="D140" s="3">
        <v>2</v>
      </c>
      <c r="E140" s="3">
        <v>23</v>
      </c>
      <c r="F140" s="4" t="s">
        <v>42</v>
      </c>
      <c r="G140" s="5" t="s">
        <v>15</v>
      </c>
    </row>
    <row r="141" spans="2:7" x14ac:dyDescent="0.2">
      <c r="B141" s="3">
        <v>2006</v>
      </c>
      <c r="C141" s="3">
        <v>1</v>
      </c>
      <c r="D141" s="3">
        <v>2</v>
      </c>
      <c r="E141" s="3">
        <v>24</v>
      </c>
      <c r="F141" s="4" t="s">
        <v>43</v>
      </c>
      <c r="G141" s="15" t="s">
        <v>11</v>
      </c>
    </row>
    <row r="142" spans="2:7" x14ac:dyDescent="0.2">
      <c r="B142" s="3">
        <v>2006</v>
      </c>
      <c r="C142" s="3">
        <v>1</v>
      </c>
      <c r="D142" s="3">
        <v>2</v>
      </c>
      <c r="E142" s="3">
        <v>25</v>
      </c>
      <c r="F142" s="4" t="s">
        <v>43</v>
      </c>
      <c r="G142" s="15" t="s">
        <v>11</v>
      </c>
    </row>
    <row r="143" spans="2:7" x14ac:dyDescent="0.2">
      <c r="B143" s="3">
        <v>2006</v>
      </c>
      <c r="C143" s="3">
        <v>1</v>
      </c>
      <c r="D143" s="3">
        <v>2</v>
      </c>
      <c r="E143" s="3">
        <v>26</v>
      </c>
      <c r="F143" s="4" t="s">
        <v>44</v>
      </c>
      <c r="G143" s="15" t="s">
        <v>11</v>
      </c>
    </row>
    <row r="144" spans="2:7" x14ac:dyDescent="0.2">
      <c r="B144" s="3">
        <v>2006</v>
      </c>
      <c r="C144" s="3">
        <v>1</v>
      </c>
      <c r="D144" s="3">
        <v>2</v>
      </c>
      <c r="E144" s="3">
        <v>27</v>
      </c>
      <c r="F144" s="4" t="s">
        <v>44</v>
      </c>
      <c r="G144" s="15" t="s">
        <v>11</v>
      </c>
    </row>
    <row r="145" spans="2:7" x14ac:dyDescent="0.2">
      <c r="B145" s="3">
        <v>2006</v>
      </c>
      <c r="C145" s="3">
        <v>1</v>
      </c>
      <c r="D145" s="3">
        <v>2</v>
      </c>
      <c r="E145" s="3">
        <v>28</v>
      </c>
      <c r="F145" s="4" t="s">
        <v>44</v>
      </c>
      <c r="G145" s="5" t="s">
        <v>7</v>
      </c>
    </row>
    <row r="146" spans="2:7" x14ac:dyDescent="0.2">
      <c r="B146" s="3">
        <v>2006</v>
      </c>
      <c r="C146" s="3">
        <v>2</v>
      </c>
      <c r="D146" s="3">
        <v>2</v>
      </c>
      <c r="E146" s="3">
        <v>1</v>
      </c>
      <c r="F146" s="4" t="s">
        <v>45</v>
      </c>
      <c r="G146" s="5" t="s">
        <v>18</v>
      </c>
    </row>
    <row r="147" spans="2:7" x14ac:dyDescent="0.2">
      <c r="B147" s="3">
        <v>2006</v>
      </c>
      <c r="C147" s="3">
        <v>2</v>
      </c>
      <c r="D147" s="3">
        <v>2</v>
      </c>
      <c r="E147" s="3">
        <v>2</v>
      </c>
      <c r="F147" s="4" t="s">
        <v>45</v>
      </c>
      <c r="G147" s="5" t="s">
        <v>18</v>
      </c>
    </row>
    <row r="148" spans="2:7" x14ac:dyDescent="0.2">
      <c r="B148" s="3">
        <v>2006</v>
      </c>
      <c r="C148" s="3">
        <v>2</v>
      </c>
      <c r="D148" s="3">
        <v>2</v>
      </c>
      <c r="E148" s="3">
        <v>3</v>
      </c>
      <c r="F148" s="4" t="s">
        <v>45</v>
      </c>
      <c r="G148" s="5" t="s">
        <v>18</v>
      </c>
    </row>
    <row r="149" spans="2:7" x14ac:dyDescent="0.2">
      <c r="B149" s="3">
        <v>2006</v>
      </c>
      <c r="C149" s="3">
        <v>2</v>
      </c>
      <c r="D149" s="3">
        <v>2</v>
      </c>
      <c r="E149" s="3">
        <v>4</v>
      </c>
      <c r="F149" s="4" t="s">
        <v>45</v>
      </c>
      <c r="G149" s="5" t="s">
        <v>18</v>
      </c>
    </row>
    <row r="150" spans="2:7" x14ac:dyDescent="0.2">
      <c r="B150" s="3">
        <v>2006</v>
      </c>
      <c r="C150" s="3">
        <v>2</v>
      </c>
      <c r="D150" s="3">
        <v>2</v>
      </c>
      <c r="E150" s="3">
        <v>5</v>
      </c>
      <c r="F150" s="4" t="s">
        <v>45</v>
      </c>
      <c r="G150" s="5" t="s">
        <v>18</v>
      </c>
    </row>
    <row r="151" spans="2:7" x14ac:dyDescent="0.2">
      <c r="B151" s="3">
        <v>2006</v>
      </c>
      <c r="C151" s="3">
        <v>2</v>
      </c>
      <c r="D151" s="3">
        <v>2</v>
      </c>
      <c r="E151" s="3">
        <v>6</v>
      </c>
      <c r="F151" s="4" t="s">
        <v>45</v>
      </c>
      <c r="G151" s="15" t="s">
        <v>7</v>
      </c>
    </row>
    <row r="152" spans="2:7" x14ac:dyDescent="0.2">
      <c r="B152" s="3">
        <v>2006</v>
      </c>
      <c r="C152" s="3">
        <v>2</v>
      </c>
      <c r="D152" s="3">
        <v>2</v>
      </c>
      <c r="E152" s="3">
        <v>7</v>
      </c>
      <c r="F152" s="4" t="s">
        <v>46</v>
      </c>
      <c r="G152" s="5" t="s">
        <v>15</v>
      </c>
    </row>
    <row r="153" spans="2:7" x14ac:dyDescent="0.2">
      <c r="B153" s="3">
        <v>2006</v>
      </c>
      <c r="C153" s="3">
        <v>2</v>
      </c>
      <c r="D153" s="3">
        <v>2</v>
      </c>
      <c r="E153" s="3">
        <v>8</v>
      </c>
      <c r="F153" s="4" t="s">
        <v>46</v>
      </c>
      <c r="G153" s="5" t="s">
        <v>15</v>
      </c>
    </row>
    <row r="154" spans="2:7" x14ac:dyDescent="0.2">
      <c r="B154" s="3">
        <v>2006</v>
      </c>
      <c r="C154" s="3">
        <v>2</v>
      </c>
      <c r="D154" s="3">
        <v>2</v>
      </c>
      <c r="E154" s="3">
        <v>9</v>
      </c>
      <c r="F154" s="4" t="s">
        <v>46</v>
      </c>
      <c r="G154" s="5" t="s">
        <v>15</v>
      </c>
    </row>
    <row r="155" spans="2:7" x14ac:dyDescent="0.2">
      <c r="B155" s="3">
        <v>2006</v>
      </c>
      <c r="C155" s="3">
        <v>2</v>
      </c>
      <c r="D155" s="3">
        <v>2</v>
      </c>
      <c r="E155" s="3">
        <v>10</v>
      </c>
      <c r="F155" s="4" t="s">
        <v>46</v>
      </c>
      <c r="G155" s="5" t="s">
        <v>15</v>
      </c>
    </row>
    <row r="156" spans="2:7" x14ac:dyDescent="0.2">
      <c r="B156" s="3">
        <v>2006</v>
      </c>
      <c r="C156" s="3">
        <v>2</v>
      </c>
      <c r="D156" s="3">
        <v>2</v>
      </c>
      <c r="E156" s="3">
        <v>11</v>
      </c>
      <c r="F156" s="4" t="s">
        <v>46</v>
      </c>
      <c r="G156" s="5" t="s">
        <v>15</v>
      </c>
    </row>
    <row r="157" spans="2:7" x14ac:dyDescent="0.2">
      <c r="B157" s="3">
        <v>2006</v>
      </c>
      <c r="C157" s="3">
        <v>2</v>
      </c>
      <c r="D157" s="3">
        <v>2</v>
      </c>
      <c r="E157" s="3">
        <v>12</v>
      </c>
      <c r="F157" s="4" t="s">
        <v>42</v>
      </c>
      <c r="G157" s="5" t="s">
        <v>15</v>
      </c>
    </row>
    <row r="158" spans="2:7" x14ac:dyDescent="0.2">
      <c r="B158" s="3">
        <v>2006</v>
      </c>
      <c r="C158" s="3">
        <v>2</v>
      </c>
      <c r="D158" s="3">
        <v>2</v>
      </c>
      <c r="E158" s="3">
        <v>13</v>
      </c>
      <c r="F158" s="4" t="s">
        <v>42</v>
      </c>
      <c r="G158" s="5" t="s">
        <v>15</v>
      </c>
    </row>
    <row r="159" spans="2:7" x14ac:dyDescent="0.2">
      <c r="B159" s="3">
        <v>2006</v>
      </c>
      <c r="C159" s="3">
        <v>2</v>
      </c>
      <c r="D159" s="3">
        <v>2</v>
      </c>
      <c r="E159" s="3">
        <v>14</v>
      </c>
      <c r="F159" s="4" t="s">
        <v>42</v>
      </c>
      <c r="G159" s="5" t="s">
        <v>15</v>
      </c>
    </row>
    <row r="160" spans="2:7" x14ac:dyDescent="0.2">
      <c r="B160" s="3">
        <v>2006</v>
      </c>
      <c r="C160" s="3">
        <v>2</v>
      </c>
      <c r="D160" s="3">
        <v>2</v>
      </c>
      <c r="E160" s="3">
        <v>15</v>
      </c>
      <c r="F160" s="4" t="s">
        <v>42</v>
      </c>
      <c r="G160" s="5" t="s">
        <v>15</v>
      </c>
    </row>
    <row r="161" spans="2:7" x14ac:dyDescent="0.2">
      <c r="B161" s="3">
        <v>2006</v>
      </c>
      <c r="C161" s="3">
        <v>2</v>
      </c>
      <c r="D161" s="3">
        <v>2</v>
      </c>
      <c r="E161" s="3">
        <v>16</v>
      </c>
      <c r="F161" s="4" t="s">
        <v>47</v>
      </c>
      <c r="G161" s="15" t="s">
        <v>7</v>
      </c>
    </row>
    <row r="162" spans="2:7" x14ac:dyDescent="0.2">
      <c r="B162" s="3">
        <v>2006</v>
      </c>
      <c r="C162" s="3">
        <v>2</v>
      </c>
      <c r="D162" s="3">
        <v>2</v>
      </c>
      <c r="E162" s="3">
        <v>17</v>
      </c>
      <c r="F162" s="4" t="s">
        <v>47</v>
      </c>
      <c r="G162" s="15" t="s">
        <v>7</v>
      </c>
    </row>
    <row r="163" spans="2:7" x14ac:dyDescent="0.2">
      <c r="B163" s="3">
        <v>2006</v>
      </c>
      <c r="C163" s="3">
        <v>2</v>
      </c>
      <c r="D163" s="3">
        <v>2</v>
      </c>
      <c r="E163" s="3">
        <v>18</v>
      </c>
      <c r="F163" s="4" t="s">
        <v>47</v>
      </c>
      <c r="G163" s="15" t="s">
        <v>7</v>
      </c>
    </row>
    <row r="164" spans="2:7" x14ac:dyDescent="0.2">
      <c r="B164" s="3">
        <v>2006</v>
      </c>
      <c r="C164" s="3">
        <v>2</v>
      </c>
      <c r="D164" s="3">
        <v>2</v>
      </c>
      <c r="E164" s="3">
        <v>19</v>
      </c>
      <c r="F164" s="4" t="s">
        <v>47</v>
      </c>
      <c r="G164" s="15" t="s">
        <v>7</v>
      </c>
    </row>
    <row r="165" spans="2:7" x14ac:dyDescent="0.2">
      <c r="B165" s="3">
        <v>2006</v>
      </c>
      <c r="C165" s="3">
        <v>2</v>
      </c>
      <c r="D165" s="3">
        <v>2</v>
      </c>
      <c r="E165" s="3">
        <v>20</v>
      </c>
      <c r="F165" s="4" t="s">
        <v>47</v>
      </c>
      <c r="G165" s="15" t="s">
        <v>7</v>
      </c>
    </row>
    <row r="166" spans="2:7" x14ac:dyDescent="0.2">
      <c r="B166" s="3">
        <v>2006</v>
      </c>
      <c r="C166" s="3">
        <v>2</v>
      </c>
      <c r="D166" s="3">
        <v>2</v>
      </c>
      <c r="E166" s="3">
        <v>21</v>
      </c>
      <c r="F166" s="4" t="s">
        <v>47</v>
      </c>
      <c r="G166" s="15" t="s">
        <v>7</v>
      </c>
    </row>
    <row r="167" spans="2:7" x14ac:dyDescent="0.2">
      <c r="B167" s="3">
        <v>2006</v>
      </c>
      <c r="C167" s="3">
        <v>2</v>
      </c>
      <c r="D167" s="3">
        <v>2</v>
      </c>
      <c r="E167" s="3">
        <v>22</v>
      </c>
      <c r="F167" s="4" t="s">
        <v>48</v>
      </c>
      <c r="G167" s="15" t="s">
        <v>7</v>
      </c>
    </row>
    <row r="168" spans="2:7" x14ac:dyDescent="0.2">
      <c r="B168" s="3">
        <v>2006</v>
      </c>
      <c r="C168" s="3">
        <v>2</v>
      </c>
      <c r="D168" s="3">
        <v>2</v>
      </c>
      <c r="E168" s="3">
        <v>23</v>
      </c>
      <c r="F168" s="4" t="s">
        <v>48</v>
      </c>
      <c r="G168" s="15" t="s">
        <v>7</v>
      </c>
    </row>
    <row r="169" spans="2:7" x14ac:dyDescent="0.2">
      <c r="B169" s="3">
        <v>2006</v>
      </c>
      <c r="C169" s="3">
        <v>2</v>
      </c>
      <c r="D169" s="3">
        <v>2</v>
      </c>
      <c r="E169" s="3">
        <v>24</v>
      </c>
      <c r="F169" s="4" t="s">
        <v>48</v>
      </c>
      <c r="G169" s="15" t="s">
        <v>7</v>
      </c>
    </row>
    <row r="170" spans="2:7" x14ac:dyDescent="0.2">
      <c r="B170" s="3">
        <v>2006</v>
      </c>
      <c r="C170" s="3">
        <v>2</v>
      </c>
      <c r="D170" s="3">
        <v>2</v>
      </c>
      <c r="E170" s="3">
        <v>25</v>
      </c>
      <c r="F170" s="4" t="s">
        <v>48</v>
      </c>
      <c r="G170" s="15" t="s">
        <v>7</v>
      </c>
    </row>
    <row r="171" spans="2:7" x14ac:dyDescent="0.2">
      <c r="B171" s="3">
        <v>2006</v>
      </c>
      <c r="C171" s="3">
        <v>2</v>
      </c>
      <c r="D171" s="3">
        <v>2</v>
      </c>
      <c r="E171" s="3">
        <v>26</v>
      </c>
      <c r="F171" s="4" t="s">
        <v>48</v>
      </c>
      <c r="G171" s="15" t="s">
        <v>7</v>
      </c>
    </row>
    <row r="172" spans="2:7" x14ac:dyDescent="0.2">
      <c r="B172" s="3">
        <v>2006</v>
      </c>
      <c r="C172" s="3">
        <v>2</v>
      </c>
      <c r="D172" s="3">
        <v>2</v>
      </c>
      <c r="E172" s="3">
        <v>27</v>
      </c>
      <c r="F172" s="4" t="s">
        <v>48</v>
      </c>
      <c r="G172" s="15" t="s">
        <v>7</v>
      </c>
    </row>
    <row r="173" spans="2:7" x14ac:dyDescent="0.2">
      <c r="B173" s="3">
        <v>2006</v>
      </c>
      <c r="C173" s="3">
        <v>2</v>
      </c>
      <c r="D173" s="3">
        <v>2</v>
      </c>
      <c r="E173" s="3">
        <v>28</v>
      </c>
      <c r="F173" s="4" t="s">
        <v>48</v>
      </c>
      <c r="G173" s="15" t="s">
        <v>7</v>
      </c>
    </row>
    <row r="174" spans="2:7" x14ac:dyDescent="0.2">
      <c r="B174" s="3">
        <v>2006</v>
      </c>
      <c r="C174" s="3">
        <v>2</v>
      </c>
      <c r="D174" s="3">
        <v>2</v>
      </c>
      <c r="E174" s="3">
        <v>29</v>
      </c>
      <c r="F174" s="4" t="s">
        <v>44</v>
      </c>
      <c r="G174" s="15" t="s">
        <v>11</v>
      </c>
    </row>
    <row r="175" spans="2:7" x14ac:dyDescent="0.2">
      <c r="B175" s="3">
        <v>2006</v>
      </c>
      <c r="C175" s="3">
        <v>2</v>
      </c>
      <c r="D175" s="3">
        <v>2</v>
      </c>
      <c r="E175" s="3">
        <v>30</v>
      </c>
      <c r="F175" s="4" t="s">
        <v>44</v>
      </c>
      <c r="G175" s="15" t="s">
        <v>11</v>
      </c>
    </row>
    <row r="176" spans="2:7" x14ac:dyDescent="0.2">
      <c r="B176" s="3">
        <v>2006</v>
      </c>
      <c r="C176" s="3">
        <v>2</v>
      </c>
      <c r="D176" s="3">
        <v>2</v>
      </c>
      <c r="E176" s="3">
        <v>31</v>
      </c>
      <c r="F176" s="4" t="s">
        <v>44</v>
      </c>
      <c r="G176" s="5" t="s">
        <v>7</v>
      </c>
    </row>
    <row r="177" spans="2:7" x14ac:dyDescent="0.2">
      <c r="B177" s="3">
        <v>2006</v>
      </c>
      <c r="C177" s="3">
        <v>2</v>
      </c>
      <c r="D177" s="3">
        <v>2</v>
      </c>
      <c r="E177" s="3">
        <v>32</v>
      </c>
      <c r="F177" s="4" t="s">
        <v>49</v>
      </c>
      <c r="G177" s="5" t="s">
        <v>11</v>
      </c>
    </row>
    <row r="178" spans="2:7" x14ac:dyDescent="0.2">
      <c r="B178" s="3">
        <v>2006</v>
      </c>
      <c r="C178" s="3">
        <v>2</v>
      </c>
      <c r="D178" s="3">
        <v>2</v>
      </c>
      <c r="E178" s="3">
        <v>33</v>
      </c>
      <c r="F178" s="4" t="s">
        <v>49</v>
      </c>
      <c r="G178" s="5" t="s">
        <v>11</v>
      </c>
    </row>
    <row r="179" spans="2:7" x14ac:dyDescent="0.2">
      <c r="B179" s="3">
        <v>2006</v>
      </c>
      <c r="C179" s="3">
        <v>2</v>
      </c>
      <c r="D179" s="3">
        <v>2</v>
      </c>
      <c r="E179" s="3">
        <v>34</v>
      </c>
      <c r="F179" s="4" t="s">
        <v>49</v>
      </c>
      <c r="G179" s="5" t="s">
        <v>11</v>
      </c>
    </row>
    <row r="180" spans="2:7" x14ac:dyDescent="0.2">
      <c r="B180" s="3">
        <v>2006</v>
      </c>
      <c r="C180" s="3">
        <v>2</v>
      </c>
      <c r="D180" s="3">
        <v>2</v>
      </c>
      <c r="E180" s="3">
        <v>35</v>
      </c>
      <c r="F180" s="4" t="s">
        <v>49</v>
      </c>
      <c r="G180" s="5" t="s">
        <v>11</v>
      </c>
    </row>
    <row r="181" spans="2:7" x14ac:dyDescent="0.2">
      <c r="B181" s="3">
        <v>2007</v>
      </c>
      <c r="C181" s="3">
        <v>1</v>
      </c>
      <c r="D181" s="3">
        <v>1</v>
      </c>
      <c r="E181" s="3">
        <v>1</v>
      </c>
      <c r="F181" s="4" t="s">
        <v>50</v>
      </c>
      <c r="G181" s="5" t="s">
        <v>11</v>
      </c>
    </row>
    <row r="182" spans="2:7" x14ac:dyDescent="0.2">
      <c r="B182" s="3">
        <v>2007</v>
      </c>
      <c r="C182" s="3">
        <v>1</v>
      </c>
      <c r="D182" s="3">
        <v>1</v>
      </c>
      <c r="E182" s="3">
        <v>2</v>
      </c>
      <c r="F182" s="4" t="s">
        <v>50</v>
      </c>
      <c r="G182" s="5" t="s">
        <v>11</v>
      </c>
    </row>
    <row r="183" spans="2:7" x14ac:dyDescent="0.2">
      <c r="B183" s="3">
        <v>2007</v>
      </c>
      <c r="C183" s="3">
        <v>1</v>
      </c>
      <c r="D183" s="3">
        <v>1</v>
      </c>
      <c r="E183" s="3">
        <v>3</v>
      </c>
      <c r="F183" s="4" t="s">
        <v>50</v>
      </c>
      <c r="G183" s="5" t="s">
        <v>11</v>
      </c>
    </row>
    <row r="184" spans="2:7" x14ac:dyDescent="0.2">
      <c r="B184" s="3">
        <v>2007</v>
      </c>
      <c r="C184" s="3">
        <v>1</v>
      </c>
      <c r="D184" s="3">
        <v>1</v>
      </c>
      <c r="E184" s="3">
        <v>4</v>
      </c>
      <c r="F184" s="4" t="s">
        <v>50</v>
      </c>
      <c r="G184" s="15" t="s">
        <v>7</v>
      </c>
    </row>
    <row r="185" spans="2:7" x14ac:dyDescent="0.2">
      <c r="B185" s="3">
        <v>2007</v>
      </c>
      <c r="C185" s="3">
        <v>1</v>
      </c>
      <c r="D185" s="3">
        <v>1</v>
      </c>
      <c r="E185" s="3">
        <v>5</v>
      </c>
      <c r="F185" s="4" t="s">
        <v>50</v>
      </c>
      <c r="G185" s="5" t="s">
        <v>11</v>
      </c>
    </row>
    <row r="186" spans="2:7" x14ac:dyDescent="0.2">
      <c r="B186" s="3">
        <v>2007</v>
      </c>
      <c r="C186" s="3">
        <v>1</v>
      </c>
      <c r="D186" s="3">
        <v>1</v>
      </c>
      <c r="E186" s="3">
        <v>6</v>
      </c>
      <c r="F186" s="4" t="s">
        <v>51</v>
      </c>
      <c r="G186" s="5" t="s">
        <v>15</v>
      </c>
    </row>
    <row r="187" spans="2:7" x14ac:dyDescent="0.2">
      <c r="B187" s="3">
        <v>2007</v>
      </c>
      <c r="C187" s="3">
        <v>1</v>
      </c>
      <c r="D187" s="3">
        <v>1</v>
      </c>
      <c r="E187" s="3">
        <v>7</v>
      </c>
      <c r="F187" s="4" t="s">
        <v>51</v>
      </c>
      <c r="G187" s="5" t="s">
        <v>15</v>
      </c>
    </row>
    <row r="188" spans="2:7" x14ac:dyDescent="0.2">
      <c r="B188" s="3">
        <v>2007</v>
      </c>
      <c r="C188" s="3">
        <v>1</v>
      </c>
      <c r="D188" s="3">
        <v>1</v>
      </c>
      <c r="E188" s="3">
        <v>8</v>
      </c>
      <c r="F188" s="4" t="s">
        <v>51</v>
      </c>
      <c r="G188" s="5" t="s">
        <v>15</v>
      </c>
    </row>
    <row r="189" spans="2:7" x14ac:dyDescent="0.2">
      <c r="B189" s="3">
        <v>2007</v>
      </c>
      <c r="C189" s="3">
        <v>1</v>
      </c>
      <c r="D189" s="3">
        <v>1</v>
      </c>
      <c r="E189" s="3">
        <v>9</v>
      </c>
      <c r="F189" s="4" t="s">
        <v>51</v>
      </c>
      <c r="G189" s="5" t="s">
        <v>15</v>
      </c>
    </row>
    <row r="190" spans="2:7" x14ac:dyDescent="0.2">
      <c r="B190" s="3">
        <v>2007</v>
      </c>
      <c r="C190" s="3">
        <v>1</v>
      </c>
      <c r="D190" s="3">
        <v>1</v>
      </c>
      <c r="E190" s="3">
        <v>10</v>
      </c>
      <c r="F190" s="4" t="s">
        <v>51</v>
      </c>
      <c r="G190" s="5" t="s">
        <v>15</v>
      </c>
    </row>
    <row r="191" spans="2:7" x14ac:dyDescent="0.2">
      <c r="B191" s="3">
        <v>2007</v>
      </c>
      <c r="C191" s="3">
        <v>1</v>
      </c>
      <c r="D191" s="3">
        <v>1</v>
      </c>
      <c r="E191" s="3">
        <v>11</v>
      </c>
      <c r="F191" s="4" t="s">
        <v>52</v>
      </c>
      <c r="G191" s="5" t="s">
        <v>15</v>
      </c>
    </row>
    <row r="192" spans="2:7" x14ac:dyDescent="0.2">
      <c r="B192" s="3">
        <v>2007</v>
      </c>
      <c r="C192" s="3">
        <v>1</v>
      </c>
      <c r="D192" s="3">
        <v>1</v>
      </c>
      <c r="E192" s="3">
        <v>12</v>
      </c>
      <c r="F192" s="4" t="s">
        <v>52</v>
      </c>
      <c r="G192" s="5" t="s">
        <v>15</v>
      </c>
    </row>
    <row r="193" spans="2:7" x14ac:dyDescent="0.2">
      <c r="B193" s="3">
        <v>2007</v>
      </c>
      <c r="C193" s="3">
        <v>1</v>
      </c>
      <c r="D193" s="3">
        <v>1</v>
      </c>
      <c r="E193" s="3">
        <v>13</v>
      </c>
      <c r="F193" s="4" t="s">
        <v>52</v>
      </c>
      <c r="G193" s="5" t="s">
        <v>15</v>
      </c>
    </row>
    <row r="194" spans="2:7" x14ac:dyDescent="0.2">
      <c r="B194" s="3">
        <v>2007</v>
      </c>
      <c r="C194" s="3">
        <v>1</v>
      </c>
      <c r="D194" s="3">
        <v>1</v>
      </c>
      <c r="E194" s="3">
        <v>14</v>
      </c>
      <c r="F194" s="4" t="s">
        <v>52</v>
      </c>
      <c r="G194" s="15" t="s">
        <v>11</v>
      </c>
    </row>
    <row r="195" spans="2:7" x14ac:dyDescent="0.2">
      <c r="B195" s="3">
        <v>2007</v>
      </c>
      <c r="C195" s="3">
        <v>1</v>
      </c>
      <c r="D195" s="3">
        <v>1</v>
      </c>
      <c r="E195" s="3">
        <v>15</v>
      </c>
      <c r="F195" s="4" t="s">
        <v>52</v>
      </c>
      <c r="G195" s="15" t="s">
        <v>11</v>
      </c>
    </row>
    <row r="196" spans="2:7" x14ac:dyDescent="0.2">
      <c r="B196" s="3">
        <v>2007</v>
      </c>
      <c r="C196" s="3">
        <v>1</v>
      </c>
      <c r="D196" s="3">
        <v>1</v>
      </c>
      <c r="E196" s="3">
        <v>16</v>
      </c>
      <c r="F196" s="4" t="s">
        <v>53</v>
      </c>
      <c r="G196" s="5" t="s">
        <v>7</v>
      </c>
    </row>
    <row r="197" spans="2:7" x14ac:dyDescent="0.2">
      <c r="B197" s="3">
        <v>2007</v>
      </c>
      <c r="C197" s="3">
        <v>1</v>
      </c>
      <c r="D197" s="3">
        <v>1</v>
      </c>
      <c r="E197" s="3">
        <v>17</v>
      </c>
      <c r="F197" s="4" t="s">
        <v>53</v>
      </c>
      <c r="G197" s="5" t="s">
        <v>7</v>
      </c>
    </row>
    <row r="198" spans="2:7" x14ac:dyDescent="0.2">
      <c r="B198" s="3">
        <v>2007</v>
      </c>
      <c r="C198" s="3">
        <v>1</v>
      </c>
      <c r="D198" s="3">
        <v>1</v>
      </c>
      <c r="E198" s="3">
        <v>18</v>
      </c>
      <c r="F198" s="4" t="s">
        <v>53</v>
      </c>
      <c r="G198" s="5" t="s">
        <v>7</v>
      </c>
    </row>
    <row r="199" spans="2:7" x14ac:dyDescent="0.2">
      <c r="B199" s="3">
        <v>2007</v>
      </c>
      <c r="C199" s="3">
        <v>1</v>
      </c>
      <c r="D199" s="3">
        <v>1</v>
      </c>
      <c r="E199" s="3">
        <v>19</v>
      </c>
      <c r="F199" s="4" t="s">
        <v>53</v>
      </c>
      <c r="G199" s="5" t="s">
        <v>7</v>
      </c>
    </row>
    <row r="200" spans="2:7" x14ac:dyDescent="0.2">
      <c r="B200" s="3">
        <v>2007</v>
      </c>
      <c r="C200" s="3">
        <v>1</v>
      </c>
      <c r="D200" s="3">
        <v>1</v>
      </c>
      <c r="E200" s="3">
        <v>20</v>
      </c>
      <c r="F200" s="4" t="s">
        <v>53</v>
      </c>
      <c r="G200" s="5" t="s">
        <v>7</v>
      </c>
    </row>
    <row r="201" spans="2:7" x14ac:dyDescent="0.2">
      <c r="B201" s="3">
        <v>2007</v>
      </c>
      <c r="C201" s="3">
        <v>2</v>
      </c>
      <c r="D201" s="3">
        <v>1</v>
      </c>
      <c r="E201" s="3">
        <v>1</v>
      </c>
      <c r="F201" s="4" t="s">
        <v>54</v>
      </c>
      <c r="G201" s="15" t="s">
        <v>15</v>
      </c>
    </row>
    <row r="202" spans="2:7" x14ac:dyDescent="0.2">
      <c r="B202" s="3">
        <v>2007</v>
      </c>
      <c r="C202" s="3">
        <v>2</v>
      </c>
      <c r="D202" s="3">
        <v>1</v>
      </c>
      <c r="E202" s="3">
        <v>2</v>
      </c>
      <c r="F202" s="4" t="s">
        <v>54</v>
      </c>
      <c r="G202" s="15" t="s">
        <v>7</v>
      </c>
    </row>
    <row r="203" spans="2:7" x14ac:dyDescent="0.2">
      <c r="B203" s="3">
        <v>2007</v>
      </c>
      <c r="C203" s="3">
        <v>2</v>
      </c>
      <c r="D203" s="3">
        <v>1</v>
      </c>
      <c r="E203" s="3">
        <v>3</v>
      </c>
      <c r="F203" s="4" t="s">
        <v>54</v>
      </c>
      <c r="G203" s="15" t="s">
        <v>7</v>
      </c>
    </row>
    <row r="204" spans="2:7" x14ac:dyDescent="0.2">
      <c r="B204" s="3">
        <v>2007</v>
      </c>
      <c r="C204" s="3">
        <v>2</v>
      </c>
      <c r="D204" s="3">
        <v>1</v>
      </c>
      <c r="E204" s="3">
        <v>4</v>
      </c>
      <c r="F204" s="4" t="s">
        <v>54</v>
      </c>
      <c r="G204" s="15" t="s">
        <v>15</v>
      </c>
    </row>
    <row r="205" spans="2:7" x14ac:dyDescent="0.2">
      <c r="B205" s="3">
        <v>2007</v>
      </c>
      <c r="C205" s="3">
        <v>2</v>
      </c>
      <c r="D205" s="3">
        <v>1</v>
      </c>
      <c r="E205" s="3">
        <v>5</v>
      </c>
      <c r="F205" s="4" t="s">
        <v>54</v>
      </c>
      <c r="G205" s="15" t="s">
        <v>7</v>
      </c>
    </row>
    <row r="206" spans="2:7" x14ac:dyDescent="0.2">
      <c r="B206" s="3">
        <v>2007</v>
      </c>
      <c r="C206" s="3">
        <v>2</v>
      </c>
      <c r="D206" s="3">
        <v>1</v>
      </c>
      <c r="E206" s="3">
        <v>6</v>
      </c>
      <c r="F206" s="4" t="s">
        <v>55</v>
      </c>
      <c r="G206" s="5" t="s">
        <v>15</v>
      </c>
    </row>
    <row r="207" spans="2:7" x14ac:dyDescent="0.2">
      <c r="B207" s="3">
        <v>2007</v>
      </c>
      <c r="C207" s="3">
        <v>2</v>
      </c>
      <c r="D207" s="3">
        <v>1</v>
      </c>
      <c r="E207" s="3">
        <v>7</v>
      </c>
      <c r="F207" s="4" t="s">
        <v>55</v>
      </c>
      <c r="G207" s="15" t="s">
        <v>7</v>
      </c>
    </row>
    <row r="208" spans="2:7" x14ac:dyDescent="0.2">
      <c r="B208" s="3">
        <v>2007</v>
      </c>
      <c r="C208" s="3">
        <v>2</v>
      </c>
      <c r="D208" s="3">
        <v>1</v>
      </c>
      <c r="E208" s="3">
        <v>8</v>
      </c>
      <c r="F208" s="4" t="s">
        <v>55</v>
      </c>
      <c r="G208" s="5" t="s">
        <v>15</v>
      </c>
    </row>
    <row r="209" spans="2:7" x14ac:dyDescent="0.2">
      <c r="B209" s="3">
        <v>2007</v>
      </c>
      <c r="C209" s="3">
        <v>2</v>
      </c>
      <c r="D209" s="3">
        <v>1</v>
      </c>
      <c r="E209" s="3">
        <v>9</v>
      </c>
      <c r="F209" s="4" t="s">
        <v>55</v>
      </c>
      <c r="G209" s="15" t="s">
        <v>11</v>
      </c>
    </row>
    <row r="210" spans="2:7" x14ac:dyDescent="0.2">
      <c r="B210" s="3">
        <v>2007</v>
      </c>
      <c r="C210" s="3">
        <v>2</v>
      </c>
      <c r="D210" s="3">
        <v>1</v>
      </c>
      <c r="E210" s="3">
        <v>10</v>
      </c>
      <c r="F210" s="4" t="s">
        <v>55</v>
      </c>
      <c r="G210" s="15" t="s">
        <v>11</v>
      </c>
    </row>
    <row r="211" spans="2:7" x14ac:dyDescent="0.2">
      <c r="B211" s="3">
        <v>2007</v>
      </c>
      <c r="C211" s="3">
        <v>2</v>
      </c>
      <c r="D211" s="3">
        <v>1</v>
      </c>
      <c r="E211" s="3">
        <v>11</v>
      </c>
      <c r="F211" s="4" t="s">
        <v>56</v>
      </c>
      <c r="G211" s="5" t="s">
        <v>7</v>
      </c>
    </row>
    <row r="212" spans="2:7" x14ac:dyDescent="0.2">
      <c r="B212" s="3">
        <v>2007</v>
      </c>
      <c r="C212" s="3">
        <v>2</v>
      </c>
      <c r="D212" s="3">
        <v>1</v>
      </c>
      <c r="E212" s="3">
        <v>12</v>
      </c>
      <c r="F212" s="4" t="s">
        <v>56</v>
      </c>
      <c r="G212" s="15" t="s">
        <v>11</v>
      </c>
    </row>
    <row r="213" spans="2:7" x14ac:dyDescent="0.2">
      <c r="B213" s="3">
        <v>2007</v>
      </c>
      <c r="C213" s="3">
        <v>2</v>
      </c>
      <c r="D213" s="3">
        <v>1</v>
      </c>
      <c r="E213" s="3">
        <v>13</v>
      </c>
      <c r="F213" s="4" t="s">
        <v>56</v>
      </c>
      <c r="G213" s="15" t="s">
        <v>11</v>
      </c>
    </row>
    <row r="214" spans="2:7" x14ac:dyDescent="0.2">
      <c r="B214" s="3">
        <v>2007</v>
      </c>
      <c r="C214" s="3">
        <v>2</v>
      </c>
      <c r="D214" s="3">
        <v>1</v>
      </c>
      <c r="E214" s="3">
        <v>14</v>
      </c>
      <c r="F214" s="4" t="s">
        <v>56</v>
      </c>
      <c r="G214" s="15" t="s">
        <v>11</v>
      </c>
    </row>
    <row r="215" spans="2:7" x14ac:dyDescent="0.2">
      <c r="B215" s="3">
        <v>2007</v>
      </c>
      <c r="C215" s="3">
        <v>2</v>
      </c>
      <c r="D215" s="3">
        <v>1</v>
      </c>
      <c r="E215" s="3">
        <v>15</v>
      </c>
      <c r="F215" s="4" t="s">
        <v>56</v>
      </c>
      <c r="G215" s="15" t="s">
        <v>11</v>
      </c>
    </row>
    <row r="216" spans="2:7" x14ac:dyDescent="0.2">
      <c r="B216" s="3">
        <v>2007</v>
      </c>
      <c r="C216" s="3">
        <v>2</v>
      </c>
      <c r="D216" s="3">
        <v>1</v>
      </c>
      <c r="E216" s="3">
        <v>16</v>
      </c>
      <c r="F216" s="4" t="s">
        <v>53</v>
      </c>
      <c r="G216" s="5" t="s">
        <v>7</v>
      </c>
    </row>
    <row r="217" spans="2:7" x14ac:dyDescent="0.2">
      <c r="B217" s="3">
        <v>2007</v>
      </c>
      <c r="C217" s="3">
        <v>2</v>
      </c>
      <c r="D217" s="3">
        <v>1</v>
      </c>
      <c r="E217" s="3">
        <v>17</v>
      </c>
      <c r="F217" s="4" t="s">
        <v>53</v>
      </c>
      <c r="G217" s="5" t="s">
        <v>7</v>
      </c>
    </row>
    <row r="218" spans="2:7" x14ac:dyDescent="0.2">
      <c r="B218" s="3">
        <v>2007</v>
      </c>
      <c r="C218" s="3">
        <v>2</v>
      </c>
      <c r="D218" s="3">
        <v>1</v>
      </c>
      <c r="E218" s="3">
        <v>18</v>
      </c>
      <c r="F218" s="4" t="s">
        <v>53</v>
      </c>
      <c r="G218" s="5" t="s">
        <v>7</v>
      </c>
    </row>
    <row r="219" spans="2:7" x14ac:dyDescent="0.2">
      <c r="B219" s="3">
        <v>2007</v>
      </c>
      <c r="C219" s="3">
        <v>2</v>
      </c>
      <c r="D219" s="3">
        <v>1</v>
      </c>
      <c r="E219" s="3">
        <v>19</v>
      </c>
      <c r="F219" s="4" t="s">
        <v>53</v>
      </c>
      <c r="G219" s="5" t="s">
        <v>7</v>
      </c>
    </row>
    <row r="220" spans="2:7" x14ac:dyDescent="0.2">
      <c r="B220" s="3">
        <v>2007</v>
      </c>
      <c r="C220" s="3">
        <v>2</v>
      </c>
      <c r="D220" s="3">
        <v>1</v>
      </c>
      <c r="E220" s="3">
        <v>20</v>
      </c>
      <c r="F220" s="4" t="s">
        <v>53</v>
      </c>
      <c r="G220" s="5" t="s">
        <v>7</v>
      </c>
    </row>
    <row r="221" spans="2:7" x14ac:dyDescent="0.2">
      <c r="B221" s="3">
        <v>2007</v>
      </c>
      <c r="C221" s="3">
        <v>1</v>
      </c>
      <c r="D221" s="3">
        <v>2</v>
      </c>
      <c r="E221" s="3">
        <v>1</v>
      </c>
      <c r="F221" s="4" t="s">
        <v>57</v>
      </c>
      <c r="G221" s="5" t="s">
        <v>7</v>
      </c>
    </row>
    <row r="222" spans="2:7" x14ac:dyDescent="0.2">
      <c r="B222" s="3">
        <v>2007</v>
      </c>
      <c r="C222" s="3">
        <v>1</v>
      </c>
      <c r="D222" s="3">
        <v>2</v>
      </c>
      <c r="E222" s="3">
        <v>2</v>
      </c>
      <c r="F222" s="4" t="s">
        <v>57</v>
      </c>
      <c r="G222" s="15" t="s">
        <v>11</v>
      </c>
    </row>
    <row r="223" spans="2:7" x14ac:dyDescent="0.2">
      <c r="B223" s="3">
        <v>2007</v>
      </c>
      <c r="C223" s="3">
        <v>1</v>
      </c>
      <c r="D223" s="3">
        <v>2</v>
      </c>
      <c r="E223" s="3">
        <v>3</v>
      </c>
      <c r="F223" s="4" t="s">
        <v>57</v>
      </c>
      <c r="G223" s="15" t="s">
        <v>15</v>
      </c>
    </row>
    <row r="224" spans="2:7" x14ac:dyDescent="0.2">
      <c r="B224" s="3">
        <v>2007</v>
      </c>
      <c r="C224" s="3">
        <v>1</v>
      </c>
      <c r="D224" s="3">
        <v>2</v>
      </c>
      <c r="E224" s="3">
        <v>4</v>
      </c>
      <c r="F224" s="4" t="s">
        <v>57</v>
      </c>
      <c r="G224" s="15" t="s">
        <v>11</v>
      </c>
    </row>
    <row r="225" spans="2:7" x14ac:dyDescent="0.2">
      <c r="B225" s="3">
        <v>2007</v>
      </c>
      <c r="C225" s="3">
        <v>1</v>
      </c>
      <c r="D225" s="3">
        <v>2</v>
      </c>
      <c r="E225" s="3">
        <v>5</v>
      </c>
      <c r="F225" s="4" t="s">
        <v>57</v>
      </c>
      <c r="G225" s="15" t="s">
        <v>15</v>
      </c>
    </row>
    <row r="226" spans="2:7" x14ac:dyDescent="0.2">
      <c r="B226" s="3">
        <v>2007</v>
      </c>
      <c r="C226" s="3">
        <v>1</v>
      </c>
      <c r="D226" s="3">
        <v>2</v>
      </c>
      <c r="E226" s="3">
        <v>6</v>
      </c>
      <c r="F226" s="4" t="s">
        <v>58</v>
      </c>
      <c r="G226" s="5" t="s">
        <v>15</v>
      </c>
    </row>
    <row r="227" spans="2:7" x14ac:dyDescent="0.2">
      <c r="B227" s="3">
        <v>2007</v>
      </c>
      <c r="C227" s="3">
        <v>1</v>
      </c>
      <c r="D227" s="3">
        <v>2</v>
      </c>
      <c r="E227" s="3">
        <v>7</v>
      </c>
      <c r="F227" s="4" t="s">
        <v>58</v>
      </c>
      <c r="G227" s="5" t="s">
        <v>15</v>
      </c>
    </row>
    <row r="228" spans="2:7" x14ac:dyDescent="0.2">
      <c r="B228" s="3">
        <v>2007</v>
      </c>
      <c r="C228" s="3">
        <v>1</v>
      </c>
      <c r="D228" s="3">
        <v>2</v>
      </c>
      <c r="E228" s="3">
        <v>8</v>
      </c>
      <c r="F228" s="4" t="s">
        <v>58</v>
      </c>
      <c r="G228" s="15" t="s">
        <v>7</v>
      </c>
    </row>
    <row r="229" spans="2:7" x14ac:dyDescent="0.2">
      <c r="B229" s="3">
        <v>2007</v>
      </c>
      <c r="C229" s="3">
        <v>1</v>
      </c>
      <c r="D229" s="3">
        <v>2</v>
      </c>
      <c r="E229" s="3">
        <v>9</v>
      </c>
      <c r="F229" s="4" t="s">
        <v>58</v>
      </c>
      <c r="G229" s="15" t="s">
        <v>7</v>
      </c>
    </row>
    <row r="230" spans="2:7" x14ac:dyDescent="0.2">
      <c r="B230" s="3">
        <v>2007</v>
      </c>
      <c r="C230" s="3">
        <v>1</v>
      </c>
      <c r="D230" s="3">
        <v>2</v>
      </c>
      <c r="E230" s="3">
        <v>10</v>
      </c>
      <c r="F230" s="4" t="s">
        <v>58</v>
      </c>
      <c r="G230" s="15" t="s">
        <v>7</v>
      </c>
    </row>
    <row r="231" spans="2:7" x14ac:dyDescent="0.2">
      <c r="B231" s="3">
        <v>2007</v>
      </c>
      <c r="C231" s="3">
        <v>1</v>
      </c>
      <c r="D231" s="3">
        <v>2</v>
      </c>
      <c r="E231" s="3">
        <v>11</v>
      </c>
      <c r="F231" s="4" t="s">
        <v>59</v>
      </c>
      <c r="G231" s="5" t="s">
        <v>7</v>
      </c>
    </row>
    <row r="232" spans="2:7" x14ac:dyDescent="0.2">
      <c r="B232" s="3">
        <v>2007</v>
      </c>
      <c r="C232" s="3">
        <v>1</v>
      </c>
      <c r="D232" s="3">
        <v>2</v>
      </c>
      <c r="E232" s="3">
        <v>12</v>
      </c>
      <c r="F232" s="4" t="s">
        <v>59</v>
      </c>
      <c r="G232" s="15" t="s">
        <v>11</v>
      </c>
    </row>
    <row r="233" spans="2:7" x14ac:dyDescent="0.2">
      <c r="B233" s="3">
        <v>2007</v>
      </c>
      <c r="C233" s="3">
        <v>1</v>
      </c>
      <c r="D233" s="3">
        <v>2</v>
      </c>
      <c r="E233" s="3">
        <v>13</v>
      </c>
      <c r="F233" s="4" t="s">
        <v>59</v>
      </c>
      <c r="G233" s="15" t="s">
        <v>11</v>
      </c>
    </row>
    <row r="234" spans="2:7" x14ac:dyDescent="0.2">
      <c r="B234" s="3">
        <v>2007</v>
      </c>
      <c r="C234" s="3">
        <v>1</v>
      </c>
      <c r="D234" s="3">
        <v>2</v>
      </c>
      <c r="E234" s="3">
        <v>14</v>
      </c>
      <c r="F234" s="4" t="s">
        <v>59</v>
      </c>
      <c r="G234" s="5" t="s">
        <v>7</v>
      </c>
    </row>
    <row r="235" spans="2:7" x14ac:dyDescent="0.2">
      <c r="B235" s="3">
        <v>2007</v>
      </c>
      <c r="C235" s="3">
        <v>1</v>
      </c>
      <c r="D235" s="3">
        <v>2</v>
      </c>
      <c r="E235" s="3">
        <v>15</v>
      </c>
      <c r="F235" s="4" t="s">
        <v>59</v>
      </c>
      <c r="G235" s="15" t="s">
        <v>11</v>
      </c>
    </row>
    <row r="236" spans="2:7" x14ac:dyDescent="0.2">
      <c r="B236" s="3">
        <v>2007</v>
      </c>
      <c r="C236" s="3">
        <v>1</v>
      </c>
      <c r="D236" s="3">
        <v>2</v>
      </c>
      <c r="E236" s="3">
        <v>16</v>
      </c>
      <c r="F236" s="4" t="s">
        <v>60</v>
      </c>
      <c r="G236" s="5" t="s">
        <v>15</v>
      </c>
    </row>
    <row r="237" spans="2:7" x14ac:dyDescent="0.2">
      <c r="B237" s="3">
        <v>2007</v>
      </c>
      <c r="C237" s="3">
        <v>1</v>
      </c>
      <c r="D237" s="3">
        <v>2</v>
      </c>
      <c r="E237" s="3">
        <v>17</v>
      </c>
      <c r="F237" s="4" t="s">
        <v>60</v>
      </c>
      <c r="G237" s="15" t="s">
        <v>7</v>
      </c>
    </row>
    <row r="238" spans="2:7" x14ac:dyDescent="0.2">
      <c r="B238" s="3">
        <v>2007</v>
      </c>
      <c r="C238" s="3">
        <v>1</v>
      </c>
      <c r="D238" s="3">
        <v>2</v>
      </c>
      <c r="E238" s="3">
        <v>18</v>
      </c>
      <c r="F238" s="4" t="s">
        <v>60</v>
      </c>
      <c r="G238" s="5" t="s">
        <v>15</v>
      </c>
    </row>
    <row r="239" spans="2:7" x14ac:dyDescent="0.2">
      <c r="B239" s="3">
        <v>2007</v>
      </c>
      <c r="C239" s="3">
        <v>1</v>
      </c>
      <c r="D239" s="3">
        <v>2</v>
      </c>
      <c r="E239" s="3">
        <v>19</v>
      </c>
      <c r="F239" s="4" t="s">
        <v>60</v>
      </c>
      <c r="G239" s="5" t="s">
        <v>15</v>
      </c>
    </row>
    <row r="240" spans="2:7" x14ac:dyDescent="0.2">
      <c r="B240" s="3">
        <v>2007</v>
      </c>
      <c r="C240" s="3">
        <v>1</v>
      </c>
      <c r="D240" s="3">
        <v>2</v>
      </c>
      <c r="E240" s="3">
        <v>20</v>
      </c>
      <c r="F240" s="4" t="s">
        <v>60</v>
      </c>
      <c r="G240" s="15" t="s">
        <v>7</v>
      </c>
    </row>
    <row r="241" spans="2:7" x14ac:dyDescent="0.2">
      <c r="B241" s="3">
        <v>2007</v>
      </c>
      <c r="C241" s="3">
        <v>1</v>
      </c>
      <c r="D241" s="3">
        <v>2</v>
      </c>
      <c r="E241" s="3">
        <v>21</v>
      </c>
      <c r="F241" s="4" t="s">
        <v>61</v>
      </c>
      <c r="G241" s="5" t="s">
        <v>18</v>
      </c>
    </row>
    <row r="242" spans="2:7" x14ac:dyDescent="0.2">
      <c r="B242" s="3">
        <v>2007</v>
      </c>
      <c r="C242" s="3">
        <v>1</v>
      </c>
      <c r="D242" s="3">
        <v>2</v>
      </c>
      <c r="E242" s="3">
        <v>22</v>
      </c>
      <c r="F242" s="4" t="s">
        <v>61</v>
      </c>
      <c r="G242" s="5" t="s">
        <v>18</v>
      </c>
    </row>
    <row r="243" spans="2:7" x14ac:dyDescent="0.2">
      <c r="B243" s="3">
        <v>2007</v>
      </c>
      <c r="C243" s="3">
        <v>1</v>
      </c>
      <c r="D243" s="3">
        <v>2</v>
      </c>
      <c r="E243" s="3">
        <v>23</v>
      </c>
      <c r="F243" s="4" t="s">
        <v>61</v>
      </c>
      <c r="G243" s="5" t="s">
        <v>18</v>
      </c>
    </row>
    <row r="244" spans="2:7" x14ac:dyDescent="0.2">
      <c r="B244" s="3">
        <v>2007</v>
      </c>
      <c r="C244" s="3">
        <v>1</v>
      </c>
      <c r="D244" s="3">
        <v>2</v>
      </c>
      <c r="E244" s="3">
        <v>24</v>
      </c>
      <c r="F244" s="4" t="s">
        <v>61</v>
      </c>
      <c r="G244" s="5" t="s">
        <v>18</v>
      </c>
    </row>
    <row r="245" spans="2:7" x14ac:dyDescent="0.2">
      <c r="B245" s="3">
        <v>2007</v>
      </c>
      <c r="C245" s="3">
        <v>1</v>
      </c>
      <c r="D245" s="3">
        <v>2</v>
      </c>
      <c r="E245" s="3">
        <v>25</v>
      </c>
      <c r="F245" s="4" t="s">
        <v>61</v>
      </c>
      <c r="G245" s="15" t="s">
        <v>7</v>
      </c>
    </row>
    <row r="246" spans="2:7" x14ac:dyDescent="0.2">
      <c r="B246" s="3">
        <v>2007</v>
      </c>
      <c r="C246" s="3">
        <v>2</v>
      </c>
      <c r="D246" s="3">
        <v>2</v>
      </c>
      <c r="E246" s="3">
        <v>1</v>
      </c>
      <c r="F246" s="4" t="s">
        <v>57</v>
      </c>
      <c r="G246" s="5" t="s">
        <v>7</v>
      </c>
    </row>
    <row r="247" spans="2:7" x14ac:dyDescent="0.2">
      <c r="B247" s="3">
        <v>2007</v>
      </c>
      <c r="C247" s="3">
        <v>2</v>
      </c>
      <c r="D247" s="3">
        <v>2</v>
      </c>
      <c r="E247" s="3">
        <v>2</v>
      </c>
      <c r="F247" s="4" t="s">
        <v>57</v>
      </c>
      <c r="G247" s="15" t="s">
        <v>11</v>
      </c>
    </row>
    <row r="248" spans="2:7" x14ac:dyDescent="0.2">
      <c r="B248" s="3">
        <v>2007</v>
      </c>
      <c r="C248" s="3">
        <v>2</v>
      </c>
      <c r="D248" s="3">
        <v>2</v>
      </c>
      <c r="E248" s="3">
        <v>3</v>
      </c>
      <c r="F248" s="4" t="s">
        <v>57</v>
      </c>
      <c r="G248" s="15" t="s">
        <v>15</v>
      </c>
    </row>
    <row r="249" spans="2:7" x14ac:dyDescent="0.2">
      <c r="B249" s="3">
        <v>2007</v>
      </c>
      <c r="C249" s="3">
        <v>2</v>
      </c>
      <c r="D249" s="3">
        <v>2</v>
      </c>
      <c r="E249" s="3">
        <v>4</v>
      </c>
      <c r="F249" s="4" t="s">
        <v>57</v>
      </c>
      <c r="G249" s="15" t="s">
        <v>11</v>
      </c>
    </row>
    <row r="250" spans="2:7" x14ac:dyDescent="0.2">
      <c r="B250" s="3">
        <v>2007</v>
      </c>
      <c r="C250" s="3">
        <v>2</v>
      </c>
      <c r="D250" s="3">
        <v>2</v>
      </c>
      <c r="E250" s="3">
        <v>5</v>
      </c>
      <c r="F250" s="4" t="s">
        <v>57</v>
      </c>
      <c r="G250" s="15" t="s">
        <v>15</v>
      </c>
    </row>
    <row r="251" spans="2:7" x14ac:dyDescent="0.2">
      <c r="B251" s="3">
        <v>2007</v>
      </c>
      <c r="C251" s="3">
        <v>2</v>
      </c>
      <c r="D251" s="3">
        <v>2</v>
      </c>
      <c r="E251" s="3">
        <v>6</v>
      </c>
      <c r="F251" s="4" t="s">
        <v>62</v>
      </c>
      <c r="G251" s="5" t="s">
        <v>18</v>
      </c>
    </row>
    <row r="252" spans="2:7" x14ac:dyDescent="0.2">
      <c r="B252" s="3">
        <v>2007</v>
      </c>
      <c r="C252" s="3">
        <v>2</v>
      </c>
      <c r="D252" s="3">
        <v>2</v>
      </c>
      <c r="E252" s="3">
        <v>7</v>
      </c>
      <c r="F252" s="4" t="s">
        <v>62</v>
      </c>
      <c r="G252" s="5" t="s">
        <v>18</v>
      </c>
    </row>
    <row r="253" spans="2:7" x14ac:dyDescent="0.2">
      <c r="B253" s="3">
        <v>2007</v>
      </c>
      <c r="C253" s="3">
        <v>2</v>
      </c>
      <c r="D253" s="3">
        <v>2</v>
      </c>
      <c r="E253" s="3">
        <v>8</v>
      </c>
      <c r="F253" s="4" t="s">
        <v>62</v>
      </c>
      <c r="G253" s="15" t="s">
        <v>7</v>
      </c>
    </row>
    <row r="254" spans="2:7" x14ac:dyDescent="0.2">
      <c r="B254" s="3">
        <v>2007</v>
      </c>
      <c r="C254" s="3">
        <v>2</v>
      </c>
      <c r="D254" s="3">
        <v>2</v>
      </c>
      <c r="E254" s="3">
        <v>9</v>
      </c>
      <c r="F254" s="4" t="s">
        <v>62</v>
      </c>
      <c r="G254" s="15" t="s">
        <v>7</v>
      </c>
    </row>
    <row r="255" spans="2:7" x14ac:dyDescent="0.2">
      <c r="B255" s="3">
        <v>2007</v>
      </c>
      <c r="C255" s="3">
        <v>2</v>
      </c>
      <c r="D255" s="3">
        <v>2</v>
      </c>
      <c r="E255" s="3">
        <v>10</v>
      </c>
      <c r="F255" s="4" t="s">
        <v>62</v>
      </c>
      <c r="G255" s="15" t="s">
        <v>7</v>
      </c>
    </row>
    <row r="256" spans="2:7" x14ac:dyDescent="0.2">
      <c r="B256" s="3">
        <v>2007</v>
      </c>
      <c r="C256" s="3">
        <v>2</v>
      </c>
      <c r="D256" s="3">
        <v>2</v>
      </c>
      <c r="E256" s="3">
        <v>11</v>
      </c>
      <c r="F256" s="4" t="s">
        <v>63</v>
      </c>
      <c r="G256" s="15" t="s">
        <v>7</v>
      </c>
    </row>
    <row r="257" spans="2:7" x14ac:dyDescent="0.2">
      <c r="B257" s="3">
        <v>2007</v>
      </c>
      <c r="C257" s="3">
        <v>2</v>
      </c>
      <c r="D257" s="3">
        <v>2</v>
      </c>
      <c r="E257" s="3">
        <v>12</v>
      </c>
      <c r="F257" s="4" t="s">
        <v>63</v>
      </c>
      <c r="G257" s="15" t="s">
        <v>7</v>
      </c>
    </row>
    <row r="258" spans="2:7" x14ac:dyDescent="0.2">
      <c r="B258" s="3">
        <v>2007</v>
      </c>
      <c r="C258" s="3">
        <v>2</v>
      </c>
      <c r="D258" s="3">
        <v>2</v>
      </c>
      <c r="E258" s="3">
        <v>13</v>
      </c>
      <c r="F258" s="4" t="s">
        <v>63</v>
      </c>
      <c r="G258" s="15" t="s">
        <v>7</v>
      </c>
    </row>
    <row r="259" spans="2:7" x14ac:dyDescent="0.2">
      <c r="B259" s="3">
        <v>2007</v>
      </c>
      <c r="C259" s="3">
        <v>2</v>
      </c>
      <c r="D259" s="3">
        <v>2</v>
      </c>
      <c r="E259" s="3">
        <v>14</v>
      </c>
      <c r="F259" s="4" t="s">
        <v>63</v>
      </c>
      <c r="G259" s="15" t="s">
        <v>11</v>
      </c>
    </row>
    <row r="260" spans="2:7" x14ac:dyDescent="0.2">
      <c r="B260" s="3">
        <v>2007</v>
      </c>
      <c r="C260" s="3">
        <v>2</v>
      </c>
      <c r="D260" s="3">
        <v>2</v>
      </c>
      <c r="E260" s="3">
        <v>15</v>
      </c>
      <c r="F260" s="4" t="s">
        <v>63</v>
      </c>
      <c r="G260" s="15" t="s">
        <v>11</v>
      </c>
    </row>
    <row r="261" spans="2:7" x14ac:dyDescent="0.2">
      <c r="B261" s="3">
        <v>2007</v>
      </c>
      <c r="C261" s="3">
        <v>2</v>
      </c>
      <c r="D261" s="3">
        <v>2</v>
      </c>
      <c r="E261" s="3">
        <v>16</v>
      </c>
      <c r="F261" s="4" t="s">
        <v>64</v>
      </c>
      <c r="G261" s="5" t="s">
        <v>18</v>
      </c>
    </row>
    <row r="262" spans="2:7" x14ac:dyDescent="0.2">
      <c r="B262" s="3">
        <v>2007</v>
      </c>
      <c r="C262" s="3">
        <v>2</v>
      </c>
      <c r="D262" s="3">
        <v>2</v>
      </c>
      <c r="E262" s="3">
        <v>17</v>
      </c>
      <c r="F262" s="4" t="s">
        <v>64</v>
      </c>
      <c r="G262" s="5" t="s">
        <v>18</v>
      </c>
    </row>
    <row r="263" spans="2:7" x14ac:dyDescent="0.2">
      <c r="B263" s="3">
        <v>2007</v>
      </c>
      <c r="C263" s="3">
        <v>2</v>
      </c>
      <c r="D263" s="3">
        <v>2</v>
      </c>
      <c r="E263" s="3">
        <v>18</v>
      </c>
      <c r="F263" s="4" t="s">
        <v>64</v>
      </c>
      <c r="G263" s="5" t="s">
        <v>18</v>
      </c>
    </row>
    <row r="264" spans="2:7" x14ac:dyDescent="0.2">
      <c r="B264" s="3">
        <v>2007</v>
      </c>
      <c r="C264" s="3">
        <v>2</v>
      </c>
      <c r="D264" s="3">
        <v>2</v>
      </c>
      <c r="E264" s="3">
        <v>19</v>
      </c>
      <c r="F264" s="4" t="s">
        <v>64</v>
      </c>
      <c r="G264" s="15" t="s">
        <v>7</v>
      </c>
    </row>
    <row r="265" spans="2:7" x14ac:dyDescent="0.2">
      <c r="B265" s="3">
        <v>2007</v>
      </c>
      <c r="C265" s="3">
        <v>2</v>
      </c>
      <c r="D265" s="3">
        <v>2</v>
      </c>
      <c r="E265" s="3">
        <v>20</v>
      </c>
      <c r="F265" s="4" t="s">
        <v>64</v>
      </c>
      <c r="G265" s="15" t="s">
        <v>7</v>
      </c>
    </row>
    <row r="266" spans="2:7" x14ac:dyDescent="0.2">
      <c r="B266" s="3">
        <v>2007</v>
      </c>
      <c r="C266" s="3">
        <v>2</v>
      </c>
      <c r="D266" s="3">
        <v>2</v>
      </c>
      <c r="E266" s="3">
        <v>21</v>
      </c>
      <c r="F266" s="4" t="s">
        <v>60</v>
      </c>
      <c r="G266" s="5" t="s">
        <v>15</v>
      </c>
    </row>
    <row r="267" spans="2:7" x14ac:dyDescent="0.2">
      <c r="B267" s="3">
        <v>2007</v>
      </c>
      <c r="C267" s="3">
        <v>2</v>
      </c>
      <c r="D267" s="3">
        <v>2</v>
      </c>
      <c r="E267" s="3">
        <v>22</v>
      </c>
      <c r="F267" s="4" t="s">
        <v>60</v>
      </c>
      <c r="G267" s="15" t="s">
        <v>7</v>
      </c>
    </row>
    <row r="268" spans="2:7" x14ac:dyDescent="0.2">
      <c r="B268" s="3">
        <v>2007</v>
      </c>
      <c r="C268" s="3">
        <v>2</v>
      </c>
      <c r="D268" s="3">
        <v>2</v>
      </c>
      <c r="E268" s="3">
        <v>23</v>
      </c>
      <c r="F268" s="4" t="s">
        <v>60</v>
      </c>
      <c r="G268" s="5" t="s">
        <v>15</v>
      </c>
    </row>
    <row r="269" spans="2:7" x14ac:dyDescent="0.2">
      <c r="B269" s="3">
        <v>2007</v>
      </c>
      <c r="C269" s="3">
        <v>2</v>
      </c>
      <c r="D269" s="3">
        <v>2</v>
      </c>
      <c r="E269" s="3">
        <v>24</v>
      </c>
      <c r="F269" s="4" t="s">
        <v>60</v>
      </c>
      <c r="G269" s="5" t="s">
        <v>15</v>
      </c>
    </row>
    <row r="270" spans="2:7" x14ac:dyDescent="0.2">
      <c r="B270" s="3">
        <v>2007</v>
      </c>
      <c r="C270" s="3">
        <v>2</v>
      </c>
      <c r="D270" s="3">
        <v>2</v>
      </c>
      <c r="E270" s="3">
        <v>25</v>
      </c>
      <c r="F270" s="4" t="s">
        <v>60</v>
      </c>
      <c r="G270" s="15" t="s">
        <v>7</v>
      </c>
    </row>
    <row r="271" spans="2:7" x14ac:dyDescent="0.2">
      <c r="B271" s="3">
        <v>2008</v>
      </c>
      <c r="C271" s="3">
        <v>1</v>
      </c>
      <c r="D271" s="3">
        <v>1</v>
      </c>
      <c r="E271" s="3">
        <v>1</v>
      </c>
      <c r="F271" s="4" t="s">
        <v>65</v>
      </c>
      <c r="G271" s="15" t="s">
        <v>7</v>
      </c>
    </row>
    <row r="272" spans="2:7" x14ac:dyDescent="0.2">
      <c r="B272" s="3">
        <v>2008</v>
      </c>
      <c r="C272" s="3">
        <v>1</v>
      </c>
      <c r="D272" s="3">
        <v>1</v>
      </c>
      <c r="E272" s="3">
        <v>2</v>
      </c>
      <c r="F272" s="4" t="s">
        <v>65</v>
      </c>
      <c r="G272" s="15" t="s">
        <v>7</v>
      </c>
    </row>
    <row r="273" spans="2:7" x14ac:dyDescent="0.2">
      <c r="B273" s="3">
        <v>2008</v>
      </c>
      <c r="C273" s="3">
        <v>1</v>
      </c>
      <c r="D273" s="3">
        <v>1</v>
      </c>
      <c r="E273" s="3">
        <v>3</v>
      </c>
      <c r="F273" s="4" t="s">
        <v>65</v>
      </c>
      <c r="G273" s="15" t="s">
        <v>7</v>
      </c>
    </row>
    <row r="274" spans="2:7" x14ac:dyDescent="0.2">
      <c r="B274" s="3">
        <v>2008</v>
      </c>
      <c r="C274" s="3">
        <v>1</v>
      </c>
      <c r="D274" s="3">
        <v>1</v>
      </c>
      <c r="E274" s="3">
        <v>4</v>
      </c>
      <c r="F274" s="4" t="s">
        <v>65</v>
      </c>
      <c r="G274" s="15" t="s">
        <v>7</v>
      </c>
    </row>
    <row r="275" spans="2:7" x14ac:dyDescent="0.2">
      <c r="B275" s="3">
        <v>2008</v>
      </c>
      <c r="C275" s="3">
        <v>1</v>
      </c>
      <c r="D275" s="3">
        <v>1</v>
      </c>
      <c r="E275" s="3">
        <v>5</v>
      </c>
      <c r="F275" s="4" t="s">
        <v>65</v>
      </c>
      <c r="G275" s="15" t="s">
        <v>7</v>
      </c>
    </row>
    <row r="276" spans="2:7" x14ac:dyDescent="0.2">
      <c r="B276" s="3">
        <v>2008</v>
      </c>
      <c r="C276" s="3">
        <v>1</v>
      </c>
      <c r="D276" s="3">
        <v>1</v>
      </c>
      <c r="E276" s="3">
        <v>6</v>
      </c>
      <c r="F276" s="4" t="s">
        <v>66</v>
      </c>
      <c r="G276" s="15" t="s">
        <v>7</v>
      </c>
    </row>
    <row r="277" spans="2:7" x14ac:dyDescent="0.2">
      <c r="B277" s="3">
        <v>2008</v>
      </c>
      <c r="C277" s="3">
        <v>1</v>
      </c>
      <c r="D277" s="3">
        <v>1</v>
      </c>
      <c r="E277" s="3">
        <v>7</v>
      </c>
      <c r="F277" s="4" t="s">
        <v>66</v>
      </c>
      <c r="G277" s="15" t="s">
        <v>7</v>
      </c>
    </row>
    <row r="278" spans="2:7" x14ac:dyDescent="0.2">
      <c r="B278" s="3">
        <v>2008</v>
      </c>
      <c r="C278" s="3">
        <v>1</v>
      </c>
      <c r="D278" s="3">
        <v>1</v>
      </c>
      <c r="E278" s="3">
        <v>8</v>
      </c>
      <c r="F278" s="4" t="s">
        <v>66</v>
      </c>
      <c r="G278" s="15" t="s">
        <v>15</v>
      </c>
    </row>
    <row r="279" spans="2:7" x14ac:dyDescent="0.2">
      <c r="B279" s="3">
        <v>2008</v>
      </c>
      <c r="C279" s="3">
        <v>1</v>
      </c>
      <c r="D279" s="3">
        <v>1</v>
      </c>
      <c r="E279" s="3">
        <v>9</v>
      </c>
      <c r="F279" s="4" t="s">
        <v>66</v>
      </c>
      <c r="G279" s="15" t="s">
        <v>7</v>
      </c>
    </row>
    <row r="280" spans="2:7" x14ac:dyDescent="0.2">
      <c r="B280" s="3">
        <v>2008</v>
      </c>
      <c r="C280" s="3">
        <v>1</v>
      </c>
      <c r="D280" s="3">
        <v>1</v>
      </c>
      <c r="E280" s="3">
        <v>10</v>
      </c>
      <c r="F280" s="4" t="s">
        <v>66</v>
      </c>
      <c r="G280" s="15" t="s">
        <v>15</v>
      </c>
    </row>
    <row r="281" spans="2:7" x14ac:dyDescent="0.2">
      <c r="B281" s="3">
        <v>2008</v>
      </c>
      <c r="C281" s="3">
        <v>1</v>
      </c>
      <c r="D281" s="3">
        <v>1</v>
      </c>
      <c r="E281" s="3">
        <v>11</v>
      </c>
      <c r="F281" s="4" t="s">
        <v>67</v>
      </c>
      <c r="G281" s="15" t="s">
        <v>11</v>
      </c>
    </row>
    <row r="282" spans="2:7" x14ac:dyDescent="0.2">
      <c r="B282" s="3">
        <v>2008</v>
      </c>
      <c r="C282" s="3">
        <v>1</v>
      </c>
      <c r="D282" s="3">
        <v>1</v>
      </c>
      <c r="E282" s="3">
        <v>12</v>
      </c>
      <c r="F282" s="4" t="s">
        <v>67</v>
      </c>
      <c r="G282" s="15" t="s">
        <v>7</v>
      </c>
    </row>
    <row r="283" spans="2:7" x14ac:dyDescent="0.2">
      <c r="B283" s="3">
        <v>2008</v>
      </c>
      <c r="C283" s="3">
        <v>1</v>
      </c>
      <c r="D283" s="3">
        <v>1</v>
      </c>
      <c r="E283" s="3">
        <v>13</v>
      </c>
      <c r="F283" s="4" t="s">
        <v>67</v>
      </c>
      <c r="G283" s="5" t="s">
        <v>18</v>
      </c>
    </row>
    <row r="284" spans="2:7" x14ac:dyDescent="0.2">
      <c r="B284" s="3">
        <v>2008</v>
      </c>
      <c r="C284" s="3">
        <v>1</v>
      </c>
      <c r="D284" s="3">
        <v>1</v>
      </c>
      <c r="E284" s="3">
        <v>14</v>
      </c>
      <c r="F284" s="4" t="s">
        <v>67</v>
      </c>
      <c r="G284" s="15" t="s">
        <v>11</v>
      </c>
    </row>
    <row r="285" spans="2:7" x14ac:dyDescent="0.2">
      <c r="B285" s="3">
        <v>2008</v>
      </c>
      <c r="C285" s="3">
        <v>1</v>
      </c>
      <c r="D285" s="3">
        <v>1</v>
      </c>
      <c r="E285" s="3">
        <v>15</v>
      </c>
      <c r="F285" s="4" t="s">
        <v>67</v>
      </c>
      <c r="G285" s="15" t="s">
        <v>7</v>
      </c>
    </row>
    <row r="286" spans="2:7" x14ac:dyDescent="0.2">
      <c r="B286" s="3">
        <v>2008</v>
      </c>
      <c r="C286" s="3">
        <v>1</v>
      </c>
      <c r="D286" s="3">
        <v>1</v>
      </c>
      <c r="E286" s="3">
        <v>16</v>
      </c>
      <c r="F286" s="4" t="s">
        <v>68</v>
      </c>
      <c r="G286" s="5" t="s">
        <v>18</v>
      </c>
    </row>
    <row r="287" spans="2:7" x14ac:dyDescent="0.2">
      <c r="B287" s="3">
        <v>2008</v>
      </c>
      <c r="C287" s="3">
        <v>1</v>
      </c>
      <c r="D287" s="3">
        <v>1</v>
      </c>
      <c r="E287" s="3">
        <v>17</v>
      </c>
      <c r="F287" s="4" t="s">
        <v>68</v>
      </c>
      <c r="G287" s="15" t="s">
        <v>7</v>
      </c>
    </row>
    <row r="288" spans="2:7" x14ac:dyDescent="0.2">
      <c r="B288" s="3">
        <v>2008</v>
      </c>
      <c r="C288" s="3">
        <v>1</v>
      </c>
      <c r="D288" s="3">
        <v>1</v>
      </c>
      <c r="E288" s="3">
        <v>18</v>
      </c>
      <c r="F288" s="4" t="s">
        <v>68</v>
      </c>
      <c r="G288" s="15" t="s">
        <v>11</v>
      </c>
    </row>
    <row r="289" spans="2:7" x14ac:dyDescent="0.2">
      <c r="B289" s="3">
        <v>2008</v>
      </c>
      <c r="C289" s="3">
        <v>1</v>
      </c>
      <c r="D289" s="3">
        <v>1</v>
      </c>
      <c r="E289" s="3">
        <v>19</v>
      </c>
      <c r="F289" s="4" t="s">
        <v>68</v>
      </c>
      <c r="G289" s="5" t="s">
        <v>18</v>
      </c>
    </row>
    <row r="290" spans="2:7" x14ac:dyDescent="0.2">
      <c r="B290" s="3">
        <v>2008</v>
      </c>
      <c r="C290" s="3">
        <v>1</v>
      </c>
      <c r="D290" s="3">
        <v>1</v>
      </c>
      <c r="E290" s="3">
        <v>20</v>
      </c>
      <c r="F290" s="4" t="s">
        <v>68</v>
      </c>
      <c r="G290" s="5" t="s">
        <v>18</v>
      </c>
    </row>
    <row r="291" spans="2:7" x14ac:dyDescent="0.2">
      <c r="B291" s="3">
        <v>2008</v>
      </c>
      <c r="C291" s="3">
        <v>2</v>
      </c>
      <c r="D291" s="3">
        <v>1</v>
      </c>
      <c r="E291" s="3">
        <v>1</v>
      </c>
      <c r="F291" s="4" t="s">
        <v>65</v>
      </c>
      <c r="G291" s="15" t="s">
        <v>7</v>
      </c>
    </row>
    <row r="292" spans="2:7" x14ac:dyDescent="0.2">
      <c r="B292" s="3">
        <v>2008</v>
      </c>
      <c r="C292" s="3">
        <v>2</v>
      </c>
      <c r="D292" s="3">
        <v>1</v>
      </c>
      <c r="E292" s="3">
        <v>2</v>
      </c>
      <c r="F292" s="4" t="s">
        <v>65</v>
      </c>
      <c r="G292" s="15" t="s">
        <v>7</v>
      </c>
    </row>
    <row r="293" spans="2:7" x14ac:dyDescent="0.2">
      <c r="B293" s="3">
        <v>2008</v>
      </c>
      <c r="C293" s="3">
        <v>2</v>
      </c>
      <c r="D293" s="3">
        <v>1</v>
      </c>
      <c r="E293" s="3">
        <v>3</v>
      </c>
      <c r="F293" s="4" t="s">
        <v>65</v>
      </c>
      <c r="G293" s="15" t="s">
        <v>7</v>
      </c>
    </row>
    <row r="294" spans="2:7" x14ac:dyDescent="0.2">
      <c r="B294" s="3">
        <v>2008</v>
      </c>
      <c r="C294" s="3">
        <v>2</v>
      </c>
      <c r="D294" s="3">
        <v>1</v>
      </c>
      <c r="E294" s="3">
        <v>4</v>
      </c>
      <c r="F294" s="4" t="s">
        <v>65</v>
      </c>
      <c r="G294" s="15" t="s">
        <v>7</v>
      </c>
    </row>
    <row r="295" spans="2:7" x14ac:dyDescent="0.2">
      <c r="B295" s="3">
        <v>2008</v>
      </c>
      <c r="C295" s="3">
        <v>2</v>
      </c>
      <c r="D295" s="3">
        <v>1</v>
      </c>
      <c r="E295" s="3">
        <v>5</v>
      </c>
      <c r="F295" s="4" t="s">
        <v>65</v>
      </c>
      <c r="G295" s="15" t="s">
        <v>7</v>
      </c>
    </row>
    <row r="296" spans="2:7" x14ac:dyDescent="0.2">
      <c r="B296" s="3">
        <v>2008</v>
      </c>
      <c r="C296" s="3">
        <v>2</v>
      </c>
      <c r="D296" s="3">
        <v>1</v>
      </c>
      <c r="E296" s="3">
        <v>6</v>
      </c>
      <c r="F296" s="4" t="s">
        <v>69</v>
      </c>
      <c r="G296" s="15" t="s">
        <v>7</v>
      </c>
    </row>
    <row r="297" spans="2:7" x14ac:dyDescent="0.2">
      <c r="B297" s="3">
        <v>2008</v>
      </c>
      <c r="C297" s="3">
        <v>2</v>
      </c>
      <c r="D297" s="3">
        <v>1</v>
      </c>
      <c r="E297" s="3">
        <v>7</v>
      </c>
      <c r="F297" s="4" t="s">
        <v>69</v>
      </c>
      <c r="G297" s="5" t="s">
        <v>15</v>
      </c>
    </row>
    <row r="298" spans="2:7" x14ac:dyDescent="0.2">
      <c r="B298" s="3">
        <v>2008</v>
      </c>
      <c r="C298" s="3">
        <v>2</v>
      </c>
      <c r="D298" s="3">
        <v>1</v>
      </c>
      <c r="E298" s="3">
        <v>8</v>
      </c>
      <c r="F298" s="4" t="s">
        <v>69</v>
      </c>
      <c r="G298" s="15" t="s">
        <v>11</v>
      </c>
    </row>
    <row r="299" spans="2:7" x14ac:dyDescent="0.2">
      <c r="B299" s="3">
        <v>2008</v>
      </c>
      <c r="C299" s="3">
        <v>2</v>
      </c>
      <c r="D299" s="3">
        <v>1</v>
      </c>
      <c r="E299" s="3">
        <v>9</v>
      </c>
      <c r="F299" s="4" t="s">
        <v>69</v>
      </c>
      <c r="G299" s="15" t="s">
        <v>7</v>
      </c>
    </row>
    <row r="300" spans="2:7" x14ac:dyDescent="0.2">
      <c r="B300" s="3">
        <v>2008</v>
      </c>
      <c r="C300" s="3">
        <v>2</v>
      </c>
      <c r="D300" s="3">
        <v>1</v>
      </c>
      <c r="E300" s="3">
        <v>10</v>
      </c>
      <c r="F300" s="4" t="s">
        <v>69</v>
      </c>
      <c r="G300" s="5" t="s">
        <v>15</v>
      </c>
    </row>
    <row r="301" spans="2:7" x14ac:dyDescent="0.2">
      <c r="B301" s="3">
        <v>2008</v>
      </c>
      <c r="C301" s="3">
        <v>2</v>
      </c>
      <c r="D301" s="3">
        <v>1</v>
      </c>
      <c r="E301" s="3">
        <v>11</v>
      </c>
      <c r="F301" s="4" t="s">
        <v>70</v>
      </c>
      <c r="G301" s="5" t="s">
        <v>15</v>
      </c>
    </row>
    <row r="302" spans="2:7" x14ac:dyDescent="0.2">
      <c r="B302" s="3">
        <v>2008</v>
      </c>
      <c r="C302" s="3">
        <v>2</v>
      </c>
      <c r="D302" s="3">
        <v>1</v>
      </c>
      <c r="E302" s="3">
        <v>12</v>
      </c>
      <c r="F302" s="4" t="s">
        <v>70</v>
      </c>
      <c r="G302" s="15" t="s">
        <v>7</v>
      </c>
    </row>
    <row r="303" spans="2:7" x14ac:dyDescent="0.2">
      <c r="B303" s="3">
        <v>2008</v>
      </c>
      <c r="C303" s="3">
        <v>2</v>
      </c>
      <c r="D303" s="3">
        <v>1</v>
      </c>
      <c r="E303" s="3">
        <v>13</v>
      </c>
      <c r="F303" s="4" t="s">
        <v>70</v>
      </c>
      <c r="G303" s="15" t="s">
        <v>7</v>
      </c>
    </row>
    <row r="304" spans="2:7" x14ac:dyDescent="0.2">
      <c r="B304" s="3">
        <v>2008</v>
      </c>
      <c r="C304" s="3">
        <v>2</v>
      </c>
      <c r="D304" s="3">
        <v>1</v>
      </c>
      <c r="E304" s="3">
        <v>14</v>
      </c>
      <c r="F304" s="4" t="s">
        <v>70</v>
      </c>
      <c r="G304" s="15" t="s">
        <v>7</v>
      </c>
    </row>
    <row r="305" spans="2:7" x14ac:dyDescent="0.2">
      <c r="B305" s="3">
        <v>2008</v>
      </c>
      <c r="C305" s="3">
        <v>2</v>
      </c>
      <c r="D305" s="3">
        <v>1</v>
      </c>
      <c r="E305" s="3">
        <v>15</v>
      </c>
      <c r="F305" s="4" t="s">
        <v>70</v>
      </c>
      <c r="G305" s="15" t="s">
        <v>11</v>
      </c>
    </row>
    <row r="306" spans="2:7" x14ac:dyDescent="0.2">
      <c r="B306" s="3">
        <v>2008</v>
      </c>
      <c r="C306" s="3">
        <v>2</v>
      </c>
      <c r="D306" s="3">
        <v>1</v>
      </c>
      <c r="E306" s="3">
        <v>16</v>
      </c>
      <c r="F306" s="4" t="s">
        <v>71</v>
      </c>
      <c r="G306" s="15" t="s">
        <v>7</v>
      </c>
    </row>
    <row r="307" spans="2:7" x14ac:dyDescent="0.2">
      <c r="B307" s="3">
        <v>2008</v>
      </c>
      <c r="C307" s="3">
        <v>2</v>
      </c>
      <c r="D307" s="3">
        <v>1</v>
      </c>
      <c r="E307" s="3">
        <v>17</v>
      </c>
      <c r="F307" s="4" t="s">
        <v>71</v>
      </c>
      <c r="G307" s="15" t="s">
        <v>7</v>
      </c>
    </row>
    <row r="308" spans="2:7" x14ac:dyDescent="0.2">
      <c r="B308" s="3">
        <v>2008</v>
      </c>
      <c r="C308" s="3">
        <v>2</v>
      </c>
      <c r="D308" s="3">
        <v>1</v>
      </c>
      <c r="E308" s="3">
        <v>18</v>
      </c>
      <c r="F308" s="4" t="s">
        <v>71</v>
      </c>
      <c r="G308" s="15" t="s">
        <v>7</v>
      </c>
    </row>
    <row r="309" spans="2:7" x14ac:dyDescent="0.2">
      <c r="B309" s="3">
        <v>2008</v>
      </c>
      <c r="C309" s="3">
        <v>2</v>
      </c>
      <c r="D309" s="3">
        <v>1</v>
      </c>
      <c r="E309" s="3">
        <v>19</v>
      </c>
      <c r="F309" s="4" t="s">
        <v>71</v>
      </c>
      <c r="G309" s="15" t="s">
        <v>7</v>
      </c>
    </row>
    <row r="310" spans="2:7" x14ac:dyDescent="0.2">
      <c r="B310" s="3">
        <v>2008</v>
      </c>
      <c r="C310" s="3">
        <v>2</v>
      </c>
      <c r="D310" s="3">
        <v>1</v>
      </c>
      <c r="E310" s="3">
        <v>20</v>
      </c>
      <c r="F310" s="4" t="s">
        <v>71</v>
      </c>
      <c r="G310" s="15" t="s">
        <v>7</v>
      </c>
    </row>
    <row r="311" spans="2:7" x14ac:dyDescent="0.2">
      <c r="B311" s="3">
        <v>2008</v>
      </c>
      <c r="C311" s="3">
        <v>1</v>
      </c>
      <c r="D311" s="3">
        <v>2</v>
      </c>
      <c r="E311" s="3">
        <v>1</v>
      </c>
      <c r="F311" s="4" t="s">
        <v>72</v>
      </c>
      <c r="G311" s="5" t="s">
        <v>18</v>
      </c>
    </row>
    <row r="312" spans="2:7" x14ac:dyDescent="0.2">
      <c r="B312" s="3">
        <v>2008</v>
      </c>
      <c r="C312" s="3">
        <v>1</v>
      </c>
      <c r="D312" s="3">
        <v>2</v>
      </c>
      <c r="E312" s="3">
        <v>2</v>
      </c>
      <c r="F312" s="4" t="s">
        <v>72</v>
      </c>
      <c r="G312" s="5" t="s">
        <v>18</v>
      </c>
    </row>
    <row r="313" spans="2:7" x14ac:dyDescent="0.2">
      <c r="B313" s="3">
        <v>2008</v>
      </c>
      <c r="C313" s="3">
        <v>1</v>
      </c>
      <c r="D313" s="3">
        <v>2</v>
      </c>
      <c r="E313" s="3">
        <v>3</v>
      </c>
      <c r="F313" s="4" t="s">
        <v>72</v>
      </c>
      <c r="G313" s="5" t="s">
        <v>18</v>
      </c>
    </row>
    <row r="314" spans="2:7" x14ac:dyDescent="0.2">
      <c r="B314" s="3">
        <v>2008</v>
      </c>
      <c r="C314" s="3">
        <v>1</v>
      </c>
      <c r="D314" s="3">
        <v>2</v>
      </c>
      <c r="E314" s="3">
        <v>4</v>
      </c>
      <c r="F314" s="4" t="s">
        <v>72</v>
      </c>
      <c r="G314" s="15" t="s">
        <v>7</v>
      </c>
    </row>
    <row r="315" spans="2:7" x14ac:dyDescent="0.2">
      <c r="B315" s="3">
        <v>2008</v>
      </c>
      <c r="C315" s="3">
        <v>1</v>
      </c>
      <c r="D315" s="3">
        <v>2</v>
      </c>
      <c r="E315" s="3">
        <v>5</v>
      </c>
      <c r="F315" s="4" t="s">
        <v>72</v>
      </c>
      <c r="G315" s="15" t="s">
        <v>7</v>
      </c>
    </row>
    <row r="316" spans="2:7" x14ac:dyDescent="0.2">
      <c r="B316" s="3">
        <v>2008</v>
      </c>
      <c r="C316" s="3">
        <v>1</v>
      </c>
      <c r="D316" s="3">
        <v>2</v>
      </c>
      <c r="E316" s="3">
        <v>6</v>
      </c>
      <c r="F316" s="4" t="s">
        <v>73</v>
      </c>
      <c r="G316" s="15" t="s">
        <v>7</v>
      </c>
    </row>
    <row r="317" spans="2:7" x14ac:dyDescent="0.2">
      <c r="B317" s="3">
        <v>2008</v>
      </c>
      <c r="C317" s="3">
        <v>1</v>
      </c>
      <c r="D317" s="3">
        <v>2</v>
      </c>
      <c r="E317" s="3">
        <v>7</v>
      </c>
      <c r="F317" s="4" t="s">
        <v>73</v>
      </c>
      <c r="G317" s="15" t="s">
        <v>7</v>
      </c>
    </row>
    <row r="318" spans="2:7" x14ac:dyDescent="0.2">
      <c r="B318" s="3">
        <v>2008</v>
      </c>
      <c r="C318" s="3">
        <v>1</v>
      </c>
      <c r="D318" s="3">
        <v>2</v>
      </c>
      <c r="E318" s="3">
        <v>8</v>
      </c>
      <c r="F318" s="4" t="s">
        <v>73</v>
      </c>
      <c r="G318" s="15" t="s">
        <v>7</v>
      </c>
    </row>
    <row r="319" spans="2:7" x14ac:dyDescent="0.2">
      <c r="B319" s="3">
        <v>2008</v>
      </c>
      <c r="C319" s="3">
        <v>1</v>
      </c>
      <c r="D319" s="3">
        <v>2</v>
      </c>
      <c r="E319" s="3">
        <v>9</v>
      </c>
      <c r="F319" s="4" t="s">
        <v>73</v>
      </c>
      <c r="G319" s="15" t="s">
        <v>7</v>
      </c>
    </row>
    <row r="320" spans="2:7" x14ac:dyDescent="0.2">
      <c r="B320" s="3">
        <v>2008</v>
      </c>
      <c r="C320" s="3">
        <v>1</v>
      </c>
      <c r="D320" s="3">
        <v>2</v>
      </c>
      <c r="E320" s="3">
        <v>10</v>
      </c>
      <c r="F320" s="4" t="s">
        <v>73</v>
      </c>
      <c r="G320" s="15" t="s">
        <v>7</v>
      </c>
    </row>
    <row r="321" spans="2:7" x14ac:dyDescent="0.2">
      <c r="B321" s="3">
        <v>2008</v>
      </c>
      <c r="C321" s="3">
        <v>1</v>
      </c>
      <c r="D321" s="3">
        <v>2</v>
      </c>
      <c r="E321" s="3">
        <v>11</v>
      </c>
      <c r="F321" s="4" t="s">
        <v>74</v>
      </c>
      <c r="G321" s="5" t="s">
        <v>15</v>
      </c>
    </row>
    <row r="322" spans="2:7" x14ac:dyDescent="0.2">
      <c r="B322" s="3">
        <v>2008</v>
      </c>
      <c r="C322" s="3">
        <v>1</v>
      </c>
      <c r="D322" s="3">
        <v>2</v>
      </c>
      <c r="E322" s="3">
        <v>12</v>
      </c>
      <c r="F322" s="4" t="s">
        <v>74</v>
      </c>
      <c r="G322" s="15" t="s">
        <v>7</v>
      </c>
    </row>
    <row r="323" spans="2:7" x14ac:dyDescent="0.2">
      <c r="B323" s="3">
        <v>2008</v>
      </c>
      <c r="C323" s="3">
        <v>1</v>
      </c>
      <c r="D323" s="3">
        <v>2</v>
      </c>
      <c r="E323" s="3">
        <v>13</v>
      </c>
      <c r="F323" s="4" t="s">
        <v>74</v>
      </c>
      <c r="G323" s="15" t="s">
        <v>7</v>
      </c>
    </row>
    <row r="324" spans="2:7" x14ac:dyDescent="0.2">
      <c r="B324" s="3">
        <v>2008</v>
      </c>
      <c r="C324" s="3">
        <v>1</v>
      </c>
      <c r="D324" s="3">
        <v>2</v>
      </c>
      <c r="E324" s="3">
        <v>14</v>
      </c>
      <c r="F324" s="4" t="s">
        <v>74</v>
      </c>
      <c r="G324" s="15" t="s">
        <v>7</v>
      </c>
    </row>
    <row r="325" spans="2:7" x14ac:dyDescent="0.2">
      <c r="B325" s="3">
        <v>2008</v>
      </c>
      <c r="C325" s="3">
        <v>1</v>
      </c>
      <c r="D325" s="3">
        <v>2</v>
      </c>
      <c r="E325" s="3">
        <v>15</v>
      </c>
      <c r="F325" s="4" t="s">
        <v>74</v>
      </c>
      <c r="G325" s="5" t="s">
        <v>15</v>
      </c>
    </row>
    <row r="326" spans="2:7" x14ac:dyDescent="0.2">
      <c r="B326" s="3">
        <v>2008</v>
      </c>
      <c r="C326" s="3">
        <v>1</v>
      </c>
      <c r="D326" s="3">
        <v>2</v>
      </c>
      <c r="E326" s="3">
        <v>16</v>
      </c>
      <c r="F326" s="4" t="s">
        <v>75</v>
      </c>
      <c r="G326" s="5" t="s">
        <v>15</v>
      </c>
    </row>
    <row r="327" spans="2:7" x14ac:dyDescent="0.2">
      <c r="B327" s="3">
        <v>2008</v>
      </c>
      <c r="C327" s="3">
        <v>1</v>
      </c>
      <c r="D327" s="3">
        <v>2</v>
      </c>
      <c r="E327" s="3">
        <v>17</v>
      </c>
      <c r="F327" s="4" t="s">
        <v>75</v>
      </c>
      <c r="G327" s="15" t="s">
        <v>7</v>
      </c>
    </row>
    <row r="328" spans="2:7" x14ac:dyDescent="0.2">
      <c r="B328" s="3">
        <v>2008</v>
      </c>
      <c r="C328" s="3">
        <v>1</v>
      </c>
      <c r="D328" s="3">
        <v>2</v>
      </c>
      <c r="E328" s="3">
        <v>18</v>
      </c>
      <c r="F328" s="4" t="s">
        <v>75</v>
      </c>
      <c r="G328" s="15" t="s">
        <v>7</v>
      </c>
    </row>
    <row r="329" spans="2:7" x14ac:dyDescent="0.2">
      <c r="B329" s="3">
        <v>2008</v>
      </c>
      <c r="C329" s="3">
        <v>1</v>
      </c>
      <c r="D329" s="3">
        <v>2</v>
      </c>
      <c r="E329" s="3">
        <v>19</v>
      </c>
      <c r="F329" s="4" t="s">
        <v>75</v>
      </c>
      <c r="G329" s="15" t="s">
        <v>7</v>
      </c>
    </row>
    <row r="330" spans="2:7" x14ac:dyDescent="0.2">
      <c r="B330" s="3">
        <v>2008</v>
      </c>
      <c r="C330" s="3">
        <v>1</v>
      </c>
      <c r="D330" s="3">
        <v>2</v>
      </c>
      <c r="E330" s="3">
        <v>20</v>
      </c>
      <c r="F330" s="4" t="s">
        <v>75</v>
      </c>
      <c r="G330" s="15" t="s">
        <v>7</v>
      </c>
    </row>
    <row r="331" spans="2:7" x14ac:dyDescent="0.2">
      <c r="B331" s="3">
        <v>2008</v>
      </c>
      <c r="C331" s="3">
        <v>1</v>
      </c>
      <c r="D331" s="3">
        <v>2</v>
      </c>
      <c r="E331" s="3">
        <v>21</v>
      </c>
      <c r="F331" s="4" t="s">
        <v>76</v>
      </c>
      <c r="G331" s="5" t="s">
        <v>18</v>
      </c>
    </row>
    <row r="332" spans="2:7" x14ac:dyDescent="0.2">
      <c r="B332" s="3">
        <v>2008</v>
      </c>
      <c r="C332" s="3">
        <v>1</v>
      </c>
      <c r="D332" s="3">
        <v>2</v>
      </c>
      <c r="E332" s="3">
        <v>22</v>
      </c>
      <c r="F332" s="4" t="s">
        <v>76</v>
      </c>
      <c r="G332" s="15" t="s">
        <v>7</v>
      </c>
    </row>
    <row r="333" spans="2:7" x14ac:dyDescent="0.2">
      <c r="B333" s="3">
        <v>2008</v>
      </c>
      <c r="C333" s="3">
        <v>1</v>
      </c>
      <c r="D333" s="3">
        <v>2</v>
      </c>
      <c r="E333" s="3">
        <v>23</v>
      </c>
      <c r="F333" s="4" t="s">
        <v>76</v>
      </c>
      <c r="G333" s="15" t="s">
        <v>7</v>
      </c>
    </row>
    <row r="334" spans="2:7" x14ac:dyDescent="0.2">
      <c r="B334" s="3">
        <v>2008</v>
      </c>
      <c r="C334" s="3">
        <v>1</v>
      </c>
      <c r="D334" s="3">
        <v>2</v>
      </c>
      <c r="E334" s="3">
        <v>24</v>
      </c>
      <c r="F334" s="4" t="s">
        <v>76</v>
      </c>
      <c r="G334" s="15" t="s">
        <v>11</v>
      </c>
    </row>
    <row r="335" spans="2:7" x14ac:dyDescent="0.2">
      <c r="B335" s="3">
        <v>2008</v>
      </c>
      <c r="C335" s="3">
        <v>1</v>
      </c>
      <c r="D335" s="3">
        <v>2</v>
      </c>
      <c r="E335" s="3">
        <v>25</v>
      </c>
      <c r="F335" s="4" t="s">
        <v>76</v>
      </c>
      <c r="G335" s="15" t="s">
        <v>7</v>
      </c>
    </row>
    <row r="336" spans="2:7" x14ac:dyDescent="0.2">
      <c r="B336" s="3">
        <v>2008</v>
      </c>
      <c r="C336" s="3">
        <v>2</v>
      </c>
      <c r="D336" s="3">
        <v>2</v>
      </c>
      <c r="E336" s="3">
        <v>1</v>
      </c>
      <c r="F336" s="4" t="s">
        <v>72</v>
      </c>
      <c r="G336" s="5" t="s">
        <v>18</v>
      </c>
    </row>
    <row r="337" spans="2:7" x14ac:dyDescent="0.2">
      <c r="B337" s="3">
        <v>2008</v>
      </c>
      <c r="C337" s="3">
        <v>2</v>
      </c>
      <c r="D337" s="3">
        <v>2</v>
      </c>
      <c r="E337" s="3">
        <v>2</v>
      </c>
      <c r="F337" s="4" t="s">
        <v>72</v>
      </c>
      <c r="G337" s="5" t="s">
        <v>18</v>
      </c>
    </row>
    <row r="338" spans="2:7" x14ac:dyDescent="0.2">
      <c r="B338" s="3">
        <v>2008</v>
      </c>
      <c r="C338" s="3">
        <v>2</v>
      </c>
      <c r="D338" s="3">
        <v>2</v>
      </c>
      <c r="E338" s="3">
        <v>3</v>
      </c>
      <c r="F338" s="4" t="s">
        <v>72</v>
      </c>
      <c r="G338" s="5" t="s">
        <v>18</v>
      </c>
    </row>
    <row r="339" spans="2:7" x14ac:dyDescent="0.2">
      <c r="B339" s="3">
        <v>2008</v>
      </c>
      <c r="C339" s="3">
        <v>2</v>
      </c>
      <c r="D339" s="3">
        <v>2</v>
      </c>
      <c r="E339" s="3">
        <v>4</v>
      </c>
      <c r="F339" s="4" t="s">
        <v>72</v>
      </c>
      <c r="G339" s="15" t="s">
        <v>7</v>
      </c>
    </row>
    <row r="340" spans="2:7" x14ac:dyDescent="0.2">
      <c r="B340" s="3">
        <v>2008</v>
      </c>
      <c r="C340" s="3">
        <v>2</v>
      </c>
      <c r="D340" s="3">
        <v>2</v>
      </c>
      <c r="E340" s="3">
        <v>5</v>
      </c>
      <c r="F340" s="4" t="s">
        <v>72</v>
      </c>
      <c r="G340" s="15" t="s">
        <v>7</v>
      </c>
    </row>
    <row r="341" spans="2:7" x14ac:dyDescent="0.2">
      <c r="B341" s="3">
        <v>2008</v>
      </c>
      <c r="C341" s="3">
        <v>2</v>
      </c>
      <c r="D341" s="3">
        <v>2</v>
      </c>
      <c r="E341" s="3">
        <v>6</v>
      </c>
      <c r="F341" s="4" t="s">
        <v>55</v>
      </c>
      <c r="G341" s="15" t="s">
        <v>7</v>
      </c>
    </row>
    <row r="342" spans="2:7" x14ac:dyDescent="0.2">
      <c r="B342" s="3">
        <v>2008</v>
      </c>
      <c r="C342" s="3">
        <v>2</v>
      </c>
      <c r="D342" s="3">
        <v>2</v>
      </c>
      <c r="E342" s="3">
        <v>7</v>
      </c>
      <c r="F342" s="4" t="s">
        <v>55</v>
      </c>
      <c r="G342" s="15" t="s">
        <v>7</v>
      </c>
    </row>
    <row r="343" spans="2:7" x14ac:dyDescent="0.2">
      <c r="B343" s="3">
        <v>2008</v>
      </c>
      <c r="C343" s="3">
        <v>2</v>
      </c>
      <c r="D343" s="3">
        <v>2</v>
      </c>
      <c r="E343" s="3">
        <v>8</v>
      </c>
      <c r="F343" s="4" t="s">
        <v>55</v>
      </c>
      <c r="G343" s="15" t="s">
        <v>7</v>
      </c>
    </row>
    <row r="344" spans="2:7" x14ac:dyDescent="0.2">
      <c r="B344" s="3">
        <v>2008</v>
      </c>
      <c r="C344" s="3">
        <v>2</v>
      </c>
      <c r="D344" s="3">
        <v>2</v>
      </c>
      <c r="E344" s="3">
        <v>9</v>
      </c>
      <c r="F344" s="4" t="s">
        <v>55</v>
      </c>
      <c r="G344" s="15" t="s">
        <v>7</v>
      </c>
    </row>
    <row r="345" spans="2:7" x14ac:dyDescent="0.2">
      <c r="B345" s="3">
        <v>2008</v>
      </c>
      <c r="C345" s="3">
        <v>2</v>
      </c>
      <c r="D345" s="3">
        <v>2</v>
      </c>
      <c r="E345" s="3">
        <v>10</v>
      </c>
      <c r="F345" s="4" t="s">
        <v>55</v>
      </c>
      <c r="G345" s="15" t="s">
        <v>7</v>
      </c>
    </row>
    <row r="346" spans="2:7" x14ac:dyDescent="0.2">
      <c r="B346" s="3">
        <v>2008</v>
      </c>
      <c r="C346" s="3">
        <v>2</v>
      </c>
      <c r="D346" s="3">
        <v>2</v>
      </c>
      <c r="E346" s="3">
        <v>11</v>
      </c>
      <c r="F346" s="4" t="s">
        <v>77</v>
      </c>
      <c r="G346" s="5" t="s">
        <v>15</v>
      </c>
    </row>
    <row r="347" spans="2:7" x14ac:dyDescent="0.2">
      <c r="B347" s="3">
        <v>2008</v>
      </c>
      <c r="C347" s="3">
        <v>2</v>
      </c>
      <c r="D347" s="3">
        <v>2</v>
      </c>
      <c r="E347" s="3">
        <v>12</v>
      </c>
      <c r="F347" s="4" t="s">
        <v>77</v>
      </c>
      <c r="G347" s="15" t="s">
        <v>7</v>
      </c>
    </row>
    <row r="348" spans="2:7" x14ac:dyDescent="0.2">
      <c r="B348" s="3">
        <v>2008</v>
      </c>
      <c r="C348" s="3">
        <v>2</v>
      </c>
      <c r="D348" s="3">
        <v>2</v>
      </c>
      <c r="E348" s="3">
        <v>13</v>
      </c>
      <c r="F348" s="4" t="s">
        <v>77</v>
      </c>
      <c r="G348" s="15" t="s">
        <v>7</v>
      </c>
    </row>
    <row r="349" spans="2:7" x14ac:dyDescent="0.2">
      <c r="B349" s="3">
        <v>2008</v>
      </c>
      <c r="C349" s="3">
        <v>2</v>
      </c>
      <c r="D349" s="3">
        <v>2</v>
      </c>
      <c r="E349" s="3">
        <v>14</v>
      </c>
      <c r="F349" s="4" t="s">
        <v>77</v>
      </c>
      <c r="G349" s="15" t="s">
        <v>7</v>
      </c>
    </row>
    <row r="350" spans="2:7" x14ac:dyDescent="0.2">
      <c r="B350" s="3">
        <v>2008</v>
      </c>
      <c r="C350" s="3">
        <v>2</v>
      </c>
      <c r="D350" s="3">
        <v>2</v>
      </c>
      <c r="E350" s="3">
        <v>15</v>
      </c>
      <c r="F350" s="4" t="s">
        <v>77</v>
      </c>
      <c r="G350" s="5" t="s">
        <v>15</v>
      </c>
    </row>
    <row r="351" spans="2:7" x14ac:dyDescent="0.2">
      <c r="B351" s="3">
        <v>2008</v>
      </c>
      <c r="C351" s="3">
        <v>2</v>
      </c>
      <c r="D351" s="3">
        <v>2</v>
      </c>
      <c r="E351" s="3">
        <v>16</v>
      </c>
      <c r="F351" s="4" t="s">
        <v>78</v>
      </c>
      <c r="G351" s="5" t="s">
        <v>15</v>
      </c>
    </row>
    <row r="352" spans="2:7" x14ac:dyDescent="0.2">
      <c r="B352" s="3">
        <v>2008</v>
      </c>
      <c r="C352" s="3">
        <v>2</v>
      </c>
      <c r="D352" s="3">
        <v>2</v>
      </c>
      <c r="E352" s="3">
        <v>17</v>
      </c>
      <c r="F352" s="4" t="s">
        <v>78</v>
      </c>
      <c r="G352" s="15" t="s">
        <v>7</v>
      </c>
    </row>
    <row r="353" spans="2:7" x14ac:dyDescent="0.2">
      <c r="B353" s="3">
        <v>2008</v>
      </c>
      <c r="C353" s="3">
        <v>2</v>
      </c>
      <c r="D353" s="3">
        <v>2</v>
      </c>
      <c r="E353" s="3">
        <v>18</v>
      </c>
      <c r="F353" s="4" t="s">
        <v>78</v>
      </c>
      <c r="G353" s="15" t="s">
        <v>7</v>
      </c>
    </row>
    <row r="354" spans="2:7" x14ac:dyDescent="0.2">
      <c r="B354" s="3">
        <v>2008</v>
      </c>
      <c r="C354" s="3">
        <v>2</v>
      </c>
      <c r="D354" s="3">
        <v>2</v>
      </c>
      <c r="E354" s="3">
        <v>19</v>
      </c>
      <c r="F354" s="4" t="s">
        <v>78</v>
      </c>
      <c r="G354" s="5" t="s">
        <v>15</v>
      </c>
    </row>
    <row r="355" spans="2:7" x14ac:dyDescent="0.2">
      <c r="B355" s="3">
        <v>2008</v>
      </c>
      <c r="C355" s="3">
        <v>2</v>
      </c>
      <c r="D355" s="3">
        <v>2</v>
      </c>
      <c r="E355" s="3">
        <v>20</v>
      </c>
      <c r="F355" s="4" t="s">
        <v>78</v>
      </c>
      <c r="G355" s="5" t="s">
        <v>15</v>
      </c>
    </row>
    <row r="356" spans="2:7" x14ac:dyDescent="0.2">
      <c r="B356" s="3">
        <v>2008</v>
      </c>
      <c r="C356" s="3">
        <v>2</v>
      </c>
      <c r="D356" s="3">
        <v>2</v>
      </c>
      <c r="E356" s="3">
        <v>21</v>
      </c>
      <c r="F356" s="4" t="s">
        <v>79</v>
      </c>
      <c r="G356" s="5" t="s">
        <v>18</v>
      </c>
    </row>
    <row r="357" spans="2:7" x14ac:dyDescent="0.2">
      <c r="B357" s="3">
        <v>2008</v>
      </c>
      <c r="C357" s="3">
        <v>2</v>
      </c>
      <c r="D357" s="3">
        <v>2</v>
      </c>
      <c r="E357" s="3">
        <v>22</v>
      </c>
      <c r="F357" s="4" t="s">
        <v>79</v>
      </c>
      <c r="G357" s="15" t="s">
        <v>7</v>
      </c>
    </row>
    <row r="358" spans="2:7" x14ac:dyDescent="0.2">
      <c r="B358" s="3">
        <v>2008</v>
      </c>
      <c r="C358" s="3">
        <v>2</v>
      </c>
      <c r="D358" s="3">
        <v>2</v>
      </c>
      <c r="E358" s="3">
        <v>23</v>
      </c>
      <c r="F358" s="4" t="s">
        <v>79</v>
      </c>
      <c r="G358" s="15" t="s">
        <v>7</v>
      </c>
    </row>
    <row r="359" spans="2:7" x14ac:dyDescent="0.2">
      <c r="B359" s="3">
        <v>2008</v>
      </c>
      <c r="C359" s="3">
        <v>2</v>
      </c>
      <c r="D359" s="3">
        <v>2</v>
      </c>
      <c r="E359" s="3">
        <v>24</v>
      </c>
      <c r="F359" s="4" t="s">
        <v>79</v>
      </c>
      <c r="G359" s="15" t="s">
        <v>7</v>
      </c>
    </row>
    <row r="360" spans="2:7" x14ac:dyDescent="0.2">
      <c r="B360" s="3">
        <v>2008</v>
      </c>
      <c r="C360" s="3">
        <v>2</v>
      </c>
      <c r="D360" s="3">
        <v>2</v>
      </c>
      <c r="E360" s="3">
        <v>25</v>
      </c>
      <c r="F360" s="4" t="s">
        <v>79</v>
      </c>
      <c r="G360" s="15" t="s">
        <v>7</v>
      </c>
    </row>
    <row r="361" spans="2:7" x14ac:dyDescent="0.2">
      <c r="B361" s="3">
        <v>2009</v>
      </c>
      <c r="C361" s="3">
        <v>1</v>
      </c>
      <c r="D361" s="3">
        <v>1</v>
      </c>
      <c r="E361" s="3">
        <v>1</v>
      </c>
      <c r="F361" s="4" t="s">
        <v>80</v>
      </c>
      <c r="G361" s="5" t="s">
        <v>15</v>
      </c>
    </row>
    <row r="362" spans="2:7" x14ac:dyDescent="0.2">
      <c r="B362" s="3">
        <v>2009</v>
      </c>
      <c r="C362" s="3">
        <v>1</v>
      </c>
      <c r="D362" s="3">
        <v>1</v>
      </c>
      <c r="E362" s="3">
        <v>2</v>
      </c>
      <c r="F362" s="4" t="s">
        <v>80</v>
      </c>
      <c r="G362" s="5" t="s">
        <v>15</v>
      </c>
    </row>
    <row r="363" spans="2:7" x14ac:dyDescent="0.2">
      <c r="B363" s="3">
        <v>2009</v>
      </c>
      <c r="C363" s="3">
        <v>1</v>
      </c>
      <c r="D363" s="3">
        <v>1</v>
      </c>
      <c r="E363" s="3">
        <v>3</v>
      </c>
      <c r="F363" s="4" t="s">
        <v>80</v>
      </c>
      <c r="G363" s="5" t="s">
        <v>15</v>
      </c>
    </row>
    <row r="364" spans="2:7" x14ac:dyDescent="0.2">
      <c r="B364" s="3">
        <v>2009</v>
      </c>
      <c r="C364" s="3">
        <v>1</v>
      </c>
      <c r="D364" s="3">
        <v>1</v>
      </c>
      <c r="E364" s="3">
        <v>4</v>
      </c>
      <c r="F364" s="4" t="s">
        <v>80</v>
      </c>
      <c r="G364" s="5" t="s">
        <v>15</v>
      </c>
    </row>
    <row r="365" spans="2:7" x14ac:dyDescent="0.2">
      <c r="B365" s="3">
        <v>2009</v>
      </c>
      <c r="C365" s="3">
        <v>1</v>
      </c>
      <c r="D365" s="3">
        <v>1</v>
      </c>
      <c r="E365" s="3">
        <v>5</v>
      </c>
      <c r="F365" s="4" t="s">
        <v>80</v>
      </c>
      <c r="G365" s="5" t="s">
        <v>15</v>
      </c>
    </row>
    <row r="366" spans="2:7" x14ac:dyDescent="0.2">
      <c r="B366" s="3">
        <v>2009</v>
      </c>
      <c r="C366" s="3">
        <v>1</v>
      </c>
      <c r="D366" s="3">
        <v>1</v>
      </c>
      <c r="E366" s="3">
        <v>6</v>
      </c>
      <c r="F366" s="4" t="s">
        <v>81</v>
      </c>
      <c r="G366" s="5" t="s">
        <v>11</v>
      </c>
    </row>
    <row r="367" spans="2:7" x14ac:dyDescent="0.2">
      <c r="B367" s="3">
        <v>2009</v>
      </c>
      <c r="C367" s="3">
        <v>1</v>
      </c>
      <c r="D367" s="3">
        <v>1</v>
      </c>
      <c r="E367" s="3">
        <v>7</v>
      </c>
      <c r="F367" s="4" t="s">
        <v>81</v>
      </c>
      <c r="G367" s="5" t="s">
        <v>11</v>
      </c>
    </row>
    <row r="368" spans="2:7" x14ac:dyDescent="0.2">
      <c r="B368" s="3">
        <v>2009</v>
      </c>
      <c r="C368" s="3">
        <v>1</v>
      </c>
      <c r="D368" s="3">
        <v>1</v>
      </c>
      <c r="E368" s="3">
        <v>8</v>
      </c>
      <c r="F368" s="4" t="s">
        <v>81</v>
      </c>
      <c r="G368" s="5" t="s">
        <v>11</v>
      </c>
    </row>
    <row r="369" spans="2:7" x14ac:dyDescent="0.2">
      <c r="B369" s="3">
        <v>2009</v>
      </c>
      <c r="C369" s="3">
        <v>1</v>
      </c>
      <c r="D369" s="3">
        <v>1</v>
      </c>
      <c r="E369" s="3">
        <v>9</v>
      </c>
      <c r="F369" s="4" t="s">
        <v>81</v>
      </c>
      <c r="G369" s="5" t="s">
        <v>11</v>
      </c>
    </row>
    <row r="370" spans="2:7" x14ac:dyDescent="0.2">
      <c r="B370" s="3">
        <v>2009</v>
      </c>
      <c r="C370" s="3">
        <v>1</v>
      </c>
      <c r="D370" s="3">
        <v>1</v>
      </c>
      <c r="E370" s="3">
        <v>10</v>
      </c>
      <c r="F370" s="4" t="s">
        <v>81</v>
      </c>
      <c r="G370" s="5" t="s">
        <v>11</v>
      </c>
    </row>
    <row r="371" spans="2:7" x14ac:dyDescent="0.2">
      <c r="B371" s="3">
        <v>2009</v>
      </c>
      <c r="C371" s="3">
        <v>1</v>
      </c>
      <c r="D371" s="3">
        <v>1</v>
      </c>
      <c r="E371" s="3">
        <v>11</v>
      </c>
      <c r="F371" s="4" t="s">
        <v>82</v>
      </c>
      <c r="G371" s="5" t="s">
        <v>15</v>
      </c>
    </row>
    <row r="372" spans="2:7" x14ac:dyDescent="0.2">
      <c r="B372" s="3">
        <v>2009</v>
      </c>
      <c r="C372" s="3">
        <v>1</v>
      </c>
      <c r="D372" s="3">
        <v>1</v>
      </c>
      <c r="E372" s="3">
        <v>12</v>
      </c>
      <c r="F372" s="4" t="s">
        <v>82</v>
      </c>
      <c r="G372" s="5" t="s">
        <v>15</v>
      </c>
    </row>
    <row r="373" spans="2:7" x14ac:dyDescent="0.2">
      <c r="B373" s="3">
        <v>2009</v>
      </c>
      <c r="C373" s="3">
        <v>1</v>
      </c>
      <c r="D373" s="3">
        <v>1</v>
      </c>
      <c r="E373" s="3">
        <v>13</v>
      </c>
      <c r="F373" s="4" t="s">
        <v>82</v>
      </c>
      <c r="G373" s="5" t="s">
        <v>15</v>
      </c>
    </row>
    <row r="374" spans="2:7" x14ac:dyDescent="0.2">
      <c r="B374" s="3">
        <v>2009</v>
      </c>
      <c r="C374" s="3">
        <v>1</v>
      </c>
      <c r="D374" s="3">
        <v>1</v>
      </c>
      <c r="E374" s="3">
        <v>14</v>
      </c>
      <c r="F374" s="4" t="s">
        <v>82</v>
      </c>
      <c r="G374" s="5" t="s">
        <v>15</v>
      </c>
    </row>
    <row r="375" spans="2:7" x14ac:dyDescent="0.2">
      <c r="B375" s="3">
        <v>2009</v>
      </c>
      <c r="C375" s="3">
        <v>1</v>
      </c>
      <c r="D375" s="3">
        <v>1</v>
      </c>
      <c r="E375" s="3">
        <v>15</v>
      </c>
      <c r="F375" s="4" t="s">
        <v>82</v>
      </c>
      <c r="G375" s="5" t="s">
        <v>15</v>
      </c>
    </row>
    <row r="376" spans="2:7" x14ac:dyDescent="0.2">
      <c r="B376" s="3">
        <v>2009</v>
      </c>
      <c r="C376" s="3">
        <v>1</v>
      </c>
      <c r="D376" s="3">
        <v>1</v>
      </c>
      <c r="E376" s="3">
        <v>16</v>
      </c>
      <c r="F376" s="4" t="s">
        <v>83</v>
      </c>
      <c r="G376" s="5" t="s">
        <v>15</v>
      </c>
    </row>
    <row r="377" spans="2:7" x14ac:dyDescent="0.2">
      <c r="B377" s="3">
        <v>2009</v>
      </c>
      <c r="C377" s="3">
        <v>1</v>
      </c>
      <c r="D377" s="3">
        <v>1</v>
      </c>
      <c r="E377" s="3">
        <v>17</v>
      </c>
      <c r="F377" s="4" t="s">
        <v>83</v>
      </c>
      <c r="G377" s="5" t="s">
        <v>15</v>
      </c>
    </row>
    <row r="378" spans="2:7" x14ac:dyDescent="0.2">
      <c r="B378" s="3">
        <v>2009</v>
      </c>
      <c r="C378" s="3">
        <v>1</v>
      </c>
      <c r="D378" s="3">
        <v>1</v>
      </c>
      <c r="E378" s="3">
        <v>18</v>
      </c>
      <c r="F378" s="4" t="s">
        <v>83</v>
      </c>
      <c r="G378" s="5" t="s">
        <v>15</v>
      </c>
    </row>
    <row r="379" spans="2:7" x14ac:dyDescent="0.2">
      <c r="B379" s="3">
        <v>2009</v>
      </c>
      <c r="C379" s="3">
        <v>1</v>
      </c>
      <c r="D379" s="3">
        <v>1</v>
      </c>
      <c r="E379" s="3">
        <v>19</v>
      </c>
      <c r="F379" s="4" t="s">
        <v>83</v>
      </c>
      <c r="G379" s="5" t="s">
        <v>15</v>
      </c>
    </row>
    <row r="380" spans="2:7" x14ac:dyDescent="0.2">
      <c r="B380" s="3">
        <v>2009</v>
      </c>
      <c r="C380" s="3">
        <v>1</v>
      </c>
      <c r="D380" s="3">
        <v>1</v>
      </c>
      <c r="E380" s="3">
        <v>20</v>
      </c>
      <c r="F380" s="4" t="s">
        <v>83</v>
      </c>
      <c r="G380" s="5" t="s">
        <v>15</v>
      </c>
    </row>
    <row r="381" spans="2:7" x14ac:dyDescent="0.2">
      <c r="B381" s="3">
        <v>2009</v>
      </c>
      <c r="C381" s="3">
        <v>1</v>
      </c>
      <c r="D381" s="3">
        <v>2</v>
      </c>
      <c r="E381" s="3">
        <v>1</v>
      </c>
      <c r="F381" s="4" t="s">
        <v>84</v>
      </c>
      <c r="G381" s="5" t="s">
        <v>18</v>
      </c>
    </row>
    <row r="382" spans="2:7" x14ac:dyDescent="0.2">
      <c r="B382" s="3">
        <v>2009</v>
      </c>
      <c r="C382" s="3">
        <v>1</v>
      </c>
      <c r="D382" s="3">
        <v>2</v>
      </c>
      <c r="E382" s="3">
        <v>2</v>
      </c>
      <c r="F382" s="4" t="s">
        <v>84</v>
      </c>
      <c r="G382" s="5" t="s">
        <v>18</v>
      </c>
    </row>
    <row r="383" spans="2:7" x14ac:dyDescent="0.2">
      <c r="B383" s="3">
        <v>2009</v>
      </c>
      <c r="C383" s="3">
        <v>1</v>
      </c>
      <c r="D383" s="3">
        <v>2</v>
      </c>
      <c r="E383" s="3">
        <v>3</v>
      </c>
      <c r="F383" s="4" t="s">
        <v>84</v>
      </c>
      <c r="G383" s="5" t="s">
        <v>18</v>
      </c>
    </row>
    <row r="384" spans="2:7" x14ac:dyDescent="0.2">
      <c r="B384" s="3">
        <v>2009</v>
      </c>
      <c r="C384" s="3">
        <v>1</v>
      </c>
      <c r="D384" s="3">
        <v>2</v>
      </c>
      <c r="E384" s="3">
        <v>4</v>
      </c>
      <c r="F384" s="4" t="s">
        <v>84</v>
      </c>
      <c r="G384" s="5" t="s">
        <v>18</v>
      </c>
    </row>
    <row r="385" spans="2:7" x14ac:dyDescent="0.2">
      <c r="B385" s="3">
        <v>2009</v>
      </c>
      <c r="C385" s="3">
        <v>1</v>
      </c>
      <c r="D385" s="3">
        <v>2</v>
      </c>
      <c r="E385" s="3">
        <v>5</v>
      </c>
      <c r="F385" s="4" t="s">
        <v>84</v>
      </c>
      <c r="G385" s="5" t="s">
        <v>18</v>
      </c>
    </row>
    <row r="386" spans="2:7" x14ac:dyDescent="0.2">
      <c r="B386" s="3">
        <v>2009</v>
      </c>
      <c r="C386" s="3">
        <v>1</v>
      </c>
      <c r="D386" s="3">
        <v>2</v>
      </c>
      <c r="E386" s="3">
        <v>6</v>
      </c>
      <c r="F386" s="4" t="s">
        <v>85</v>
      </c>
      <c r="G386" s="15" t="s">
        <v>7</v>
      </c>
    </row>
    <row r="387" spans="2:7" x14ac:dyDescent="0.2">
      <c r="B387" s="3">
        <v>2009</v>
      </c>
      <c r="C387" s="3">
        <v>1</v>
      </c>
      <c r="D387" s="3">
        <v>2</v>
      </c>
      <c r="E387" s="3">
        <v>7</v>
      </c>
      <c r="F387" s="4" t="s">
        <v>85</v>
      </c>
      <c r="G387" s="15" t="s">
        <v>7</v>
      </c>
    </row>
    <row r="388" spans="2:7" x14ac:dyDescent="0.2">
      <c r="B388" s="3">
        <v>2009</v>
      </c>
      <c r="C388" s="3">
        <v>1</v>
      </c>
      <c r="D388" s="3">
        <v>2</v>
      </c>
      <c r="E388" s="3">
        <v>8</v>
      </c>
      <c r="F388" s="4" t="s">
        <v>85</v>
      </c>
      <c r="G388" s="15" t="s">
        <v>7</v>
      </c>
    </row>
    <row r="389" spans="2:7" x14ac:dyDescent="0.2">
      <c r="B389" s="3">
        <v>2009</v>
      </c>
      <c r="C389" s="3">
        <v>1</v>
      </c>
      <c r="D389" s="3">
        <v>2</v>
      </c>
      <c r="E389" s="3">
        <v>9</v>
      </c>
      <c r="F389" s="4" t="s">
        <v>85</v>
      </c>
      <c r="G389" s="15" t="s">
        <v>7</v>
      </c>
    </row>
    <row r="390" spans="2:7" x14ac:dyDescent="0.2">
      <c r="B390" s="3">
        <v>2009</v>
      </c>
      <c r="C390" s="3">
        <v>1</v>
      </c>
      <c r="D390" s="3">
        <v>2</v>
      </c>
      <c r="E390" s="3">
        <v>10</v>
      </c>
      <c r="F390" s="4" t="s">
        <v>85</v>
      </c>
      <c r="G390" s="15" t="s">
        <v>7</v>
      </c>
    </row>
    <row r="391" spans="2:7" x14ac:dyDescent="0.2">
      <c r="B391" s="3">
        <v>2009</v>
      </c>
      <c r="C391" s="3">
        <v>1</v>
      </c>
      <c r="D391" s="3">
        <v>2</v>
      </c>
      <c r="E391" s="3">
        <v>11</v>
      </c>
      <c r="F391" s="4" t="s">
        <v>86</v>
      </c>
      <c r="G391" s="15" t="s">
        <v>15</v>
      </c>
    </row>
    <row r="392" spans="2:7" x14ac:dyDescent="0.2">
      <c r="B392" s="3">
        <v>2009</v>
      </c>
      <c r="C392" s="3">
        <v>1</v>
      </c>
      <c r="D392" s="3">
        <v>2</v>
      </c>
      <c r="E392" s="3">
        <v>12</v>
      </c>
      <c r="F392" s="4" t="s">
        <v>86</v>
      </c>
      <c r="G392" s="15" t="s">
        <v>15</v>
      </c>
    </row>
    <row r="393" spans="2:7" x14ac:dyDescent="0.2">
      <c r="B393" s="3">
        <v>2009</v>
      </c>
      <c r="C393" s="3">
        <v>1</v>
      </c>
      <c r="D393" s="3">
        <v>2</v>
      </c>
      <c r="E393" s="3">
        <v>13</v>
      </c>
      <c r="F393" s="4" t="s">
        <v>86</v>
      </c>
      <c r="G393" s="15" t="s">
        <v>15</v>
      </c>
    </row>
    <row r="394" spans="2:7" x14ac:dyDescent="0.2">
      <c r="B394" s="3">
        <v>2009</v>
      </c>
      <c r="C394" s="3">
        <v>1</v>
      </c>
      <c r="D394" s="3">
        <v>2</v>
      </c>
      <c r="E394" s="3">
        <v>14</v>
      </c>
      <c r="F394" s="4" t="s">
        <v>86</v>
      </c>
      <c r="G394" s="15" t="s">
        <v>15</v>
      </c>
    </row>
    <row r="395" spans="2:7" x14ac:dyDescent="0.2">
      <c r="B395" s="3">
        <v>2009</v>
      </c>
      <c r="C395" s="3">
        <v>1</v>
      </c>
      <c r="D395" s="3">
        <v>2</v>
      </c>
      <c r="E395" s="3">
        <v>15</v>
      </c>
      <c r="F395" s="4" t="s">
        <v>86</v>
      </c>
      <c r="G395" s="15" t="s">
        <v>15</v>
      </c>
    </row>
    <row r="396" spans="2:7" x14ac:dyDescent="0.2">
      <c r="B396" s="3">
        <v>2009</v>
      </c>
      <c r="C396" s="3">
        <v>1</v>
      </c>
      <c r="D396" s="3">
        <v>2</v>
      </c>
      <c r="E396" s="3">
        <v>16</v>
      </c>
      <c r="F396" s="4" t="s">
        <v>87</v>
      </c>
      <c r="G396" s="15" t="s">
        <v>7</v>
      </c>
    </row>
    <row r="397" spans="2:7" x14ac:dyDescent="0.2">
      <c r="B397" s="3">
        <v>2009</v>
      </c>
      <c r="C397" s="3">
        <v>1</v>
      </c>
      <c r="D397" s="3">
        <v>2</v>
      </c>
      <c r="E397" s="3">
        <v>17</v>
      </c>
      <c r="F397" s="4" t="s">
        <v>87</v>
      </c>
      <c r="G397" s="15" t="s">
        <v>7</v>
      </c>
    </row>
    <row r="398" spans="2:7" x14ac:dyDescent="0.2">
      <c r="B398" s="3">
        <v>2009</v>
      </c>
      <c r="C398" s="3">
        <v>1</v>
      </c>
      <c r="D398" s="3">
        <v>2</v>
      </c>
      <c r="E398" s="3">
        <v>18</v>
      </c>
      <c r="F398" s="4" t="s">
        <v>87</v>
      </c>
      <c r="G398" s="15" t="s">
        <v>7</v>
      </c>
    </row>
    <row r="399" spans="2:7" x14ac:dyDescent="0.2">
      <c r="B399" s="3">
        <v>2009</v>
      </c>
      <c r="C399" s="3">
        <v>1</v>
      </c>
      <c r="D399" s="3">
        <v>2</v>
      </c>
      <c r="E399" s="3">
        <v>19</v>
      </c>
      <c r="F399" s="4" t="s">
        <v>87</v>
      </c>
      <c r="G399" s="15" t="s">
        <v>7</v>
      </c>
    </row>
    <row r="400" spans="2:7" x14ac:dyDescent="0.2">
      <c r="B400" s="3">
        <v>2009</v>
      </c>
      <c r="C400" s="3">
        <v>1</v>
      </c>
      <c r="D400" s="3">
        <v>2</v>
      </c>
      <c r="E400" s="3">
        <v>20</v>
      </c>
      <c r="F400" s="4" t="s">
        <v>87</v>
      </c>
      <c r="G400" s="15" t="s">
        <v>7</v>
      </c>
    </row>
    <row r="401" spans="2:7" x14ac:dyDescent="0.2">
      <c r="B401" s="3">
        <v>2009</v>
      </c>
      <c r="C401" s="3">
        <v>1</v>
      </c>
      <c r="D401" s="3">
        <v>2</v>
      </c>
      <c r="E401" s="3">
        <v>21</v>
      </c>
      <c r="F401" s="4" t="s">
        <v>88</v>
      </c>
      <c r="G401" s="5" t="s">
        <v>15</v>
      </c>
    </row>
    <row r="402" spans="2:7" x14ac:dyDescent="0.2">
      <c r="B402" s="3">
        <v>2009</v>
      </c>
      <c r="C402" s="3">
        <v>1</v>
      </c>
      <c r="D402" s="3">
        <v>2</v>
      </c>
      <c r="E402" s="3">
        <v>22</v>
      </c>
      <c r="F402" s="4" t="s">
        <v>88</v>
      </c>
      <c r="G402" s="5" t="s">
        <v>15</v>
      </c>
    </row>
    <row r="403" spans="2:7" x14ac:dyDescent="0.2">
      <c r="B403" s="3">
        <v>2009</v>
      </c>
      <c r="C403" s="3">
        <v>1</v>
      </c>
      <c r="D403" s="3">
        <v>2</v>
      </c>
      <c r="E403" s="3">
        <v>23</v>
      </c>
      <c r="F403" s="4" t="s">
        <v>88</v>
      </c>
      <c r="G403" s="5" t="s">
        <v>15</v>
      </c>
    </row>
    <row r="404" spans="2:7" x14ac:dyDescent="0.2">
      <c r="B404" s="3">
        <v>2009</v>
      </c>
      <c r="C404" s="3">
        <v>1</v>
      </c>
      <c r="D404" s="3">
        <v>2</v>
      </c>
      <c r="E404" s="3">
        <v>24</v>
      </c>
      <c r="F404" s="4" t="s">
        <v>88</v>
      </c>
      <c r="G404" s="5" t="s">
        <v>15</v>
      </c>
    </row>
    <row r="405" spans="2:7" x14ac:dyDescent="0.2">
      <c r="B405" s="3">
        <v>2009</v>
      </c>
      <c r="C405" s="3">
        <v>1</v>
      </c>
      <c r="D405" s="3">
        <v>2</v>
      </c>
      <c r="E405" s="3">
        <v>25</v>
      </c>
      <c r="F405" s="4" t="s">
        <v>88</v>
      </c>
      <c r="G405" s="5" t="s">
        <v>15</v>
      </c>
    </row>
    <row r="406" spans="2:7" x14ac:dyDescent="0.2">
      <c r="B406" s="3">
        <v>2009</v>
      </c>
      <c r="C406" s="3">
        <v>2</v>
      </c>
      <c r="D406" s="3">
        <v>2</v>
      </c>
      <c r="E406" s="3">
        <v>1</v>
      </c>
      <c r="F406" s="4" t="s">
        <v>87</v>
      </c>
      <c r="G406" s="15" t="s">
        <v>7</v>
      </c>
    </row>
    <row r="407" spans="2:7" x14ac:dyDescent="0.2">
      <c r="B407" s="3">
        <v>2009</v>
      </c>
      <c r="C407" s="3">
        <v>2</v>
      </c>
      <c r="D407" s="3">
        <v>2</v>
      </c>
      <c r="E407" s="3">
        <v>2</v>
      </c>
      <c r="F407" s="4" t="s">
        <v>87</v>
      </c>
      <c r="G407" s="15" t="s">
        <v>7</v>
      </c>
    </row>
    <row r="408" spans="2:7" x14ac:dyDescent="0.2">
      <c r="B408" s="3">
        <v>2009</v>
      </c>
      <c r="C408" s="3">
        <v>2</v>
      </c>
      <c r="D408" s="3">
        <v>2</v>
      </c>
      <c r="E408" s="3">
        <v>3</v>
      </c>
      <c r="F408" s="4" t="s">
        <v>87</v>
      </c>
      <c r="G408" s="15" t="s">
        <v>7</v>
      </c>
    </row>
    <row r="409" spans="2:7" x14ac:dyDescent="0.2">
      <c r="B409" s="3">
        <v>2009</v>
      </c>
      <c r="C409" s="3">
        <v>2</v>
      </c>
      <c r="D409" s="3">
        <v>2</v>
      </c>
      <c r="E409" s="3">
        <v>4</v>
      </c>
      <c r="F409" s="4" t="s">
        <v>87</v>
      </c>
      <c r="G409" s="15" t="s">
        <v>7</v>
      </c>
    </row>
    <row r="410" spans="2:7" x14ac:dyDescent="0.2">
      <c r="B410" s="3">
        <v>2009</v>
      </c>
      <c r="C410" s="3">
        <v>2</v>
      </c>
      <c r="D410" s="3">
        <v>2</v>
      </c>
      <c r="E410" s="3">
        <v>5</v>
      </c>
      <c r="F410" s="4" t="s">
        <v>87</v>
      </c>
      <c r="G410" s="15" t="s">
        <v>7</v>
      </c>
    </row>
    <row r="411" spans="2:7" x14ac:dyDescent="0.2">
      <c r="B411" s="3">
        <v>2009</v>
      </c>
      <c r="C411" s="3">
        <v>2</v>
      </c>
      <c r="D411" s="3">
        <v>2</v>
      </c>
      <c r="E411" s="3">
        <v>6</v>
      </c>
      <c r="F411" s="4" t="s">
        <v>88</v>
      </c>
      <c r="G411" s="5" t="s">
        <v>15</v>
      </c>
    </row>
    <row r="412" spans="2:7" x14ac:dyDescent="0.2">
      <c r="B412" s="3">
        <v>2009</v>
      </c>
      <c r="C412" s="3">
        <v>2</v>
      </c>
      <c r="D412" s="3">
        <v>2</v>
      </c>
      <c r="E412" s="3">
        <v>7</v>
      </c>
      <c r="F412" s="4" t="s">
        <v>88</v>
      </c>
      <c r="G412" s="5" t="s">
        <v>15</v>
      </c>
    </row>
    <row r="413" spans="2:7" x14ac:dyDescent="0.2">
      <c r="B413" s="3">
        <v>2009</v>
      </c>
      <c r="C413" s="3">
        <v>2</v>
      </c>
      <c r="D413" s="3">
        <v>2</v>
      </c>
      <c r="E413" s="3">
        <v>8</v>
      </c>
      <c r="F413" s="4" t="s">
        <v>88</v>
      </c>
      <c r="G413" s="5" t="s">
        <v>15</v>
      </c>
    </row>
    <row r="414" spans="2:7" x14ac:dyDescent="0.2">
      <c r="B414" s="3">
        <v>2009</v>
      </c>
      <c r="C414" s="3">
        <v>2</v>
      </c>
      <c r="D414" s="3">
        <v>2</v>
      </c>
      <c r="E414" s="3">
        <v>9</v>
      </c>
      <c r="F414" s="4" t="s">
        <v>88</v>
      </c>
      <c r="G414" s="5" t="s">
        <v>15</v>
      </c>
    </row>
    <row r="415" spans="2:7" x14ac:dyDescent="0.2">
      <c r="B415" s="3">
        <v>2009</v>
      </c>
      <c r="C415" s="3">
        <v>2</v>
      </c>
      <c r="D415" s="3">
        <v>2</v>
      </c>
      <c r="E415" s="3">
        <v>10</v>
      </c>
      <c r="F415" s="4" t="s">
        <v>88</v>
      </c>
      <c r="G415" s="5" t="s">
        <v>15</v>
      </c>
    </row>
    <row r="416" spans="2:7" x14ac:dyDescent="0.2">
      <c r="B416" s="3">
        <v>2009</v>
      </c>
      <c r="C416" s="3">
        <v>2</v>
      </c>
      <c r="D416" s="3">
        <v>2</v>
      </c>
      <c r="E416" s="3">
        <v>11</v>
      </c>
      <c r="F416" s="4" t="s">
        <v>89</v>
      </c>
      <c r="G416" s="5" t="s">
        <v>18</v>
      </c>
    </row>
    <row r="417" spans="2:7" x14ac:dyDescent="0.2">
      <c r="B417" s="3">
        <v>2009</v>
      </c>
      <c r="C417" s="3">
        <v>2</v>
      </c>
      <c r="D417" s="3">
        <v>2</v>
      </c>
      <c r="E417" s="3">
        <v>12</v>
      </c>
      <c r="F417" s="4" t="s">
        <v>89</v>
      </c>
      <c r="G417" s="5" t="s">
        <v>18</v>
      </c>
    </row>
    <row r="418" spans="2:7" x14ac:dyDescent="0.2">
      <c r="B418" s="3">
        <v>2009</v>
      </c>
      <c r="C418" s="3">
        <v>2</v>
      </c>
      <c r="D418" s="3">
        <v>2</v>
      </c>
      <c r="E418" s="3">
        <v>13</v>
      </c>
      <c r="F418" s="4" t="s">
        <v>89</v>
      </c>
      <c r="G418" s="5" t="s">
        <v>18</v>
      </c>
    </row>
    <row r="419" spans="2:7" x14ac:dyDescent="0.2">
      <c r="B419" s="3">
        <v>2009</v>
      </c>
      <c r="C419" s="3">
        <v>2</v>
      </c>
      <c r="D419" s="3">
        <v>2</v>
      </c>
      <c r="E419" s="3">
        <v>14</v>
      </c>
      <c r="F419" s="4" t="s">
        <v>89</v>
      </c>
      <c r="G419" s="5" t="s">
        <v>18</v>
      </c>
    </row>
    <row r="420" spans="2:7" x14ac:dyDescent="0.2">
      <c r="B420" s="3">
        <v>2009</v>
      </c>
      <c r="C420" s="3">
        <v>2</v>
      </c>
      <c r="D420" s="3">
        <v>2</v>
      </c>
      <c r="E420" s="3">
        <v>15</v>
      </c>
      <c r="F420" s="4" t="s">
        <v>89</v>
      </c>
      <c r="G420" s="5" t="s">
        <v>18</v>
      </c>
    </row>
    <row r="421" spans="2:7" x14ac:dyDescent="0.2">
      <c r="B421" s="3">
        <v>2009</v>
      </c>
      <c r="C421" s="3">
        <v>2</v>
      </c>
      <c r="D421" s="3">
        <v>2</v>
      </c>
      <c r="E421" s="3">
        <v>16</v>
      </c>
      <c r="F421" s="4" t="s">
        <v>90</v>
      </c>
      <c r="G421" s="5" t="s">
        <v>15</v>
      </c>
    </row>
    <row r="422" spans="2:7" x14ac:dyDescent="0.2">
      <c r="B422" s="3">
        <v>2009</v>
      </c>
      <c r="C422" s="3">
        <v>2</v>
      </c>
      <c r="D422" s="3">
        <v>2</v>
      </c>
      <c r="E422" s="3">
        <v>17</v>
      </c>
      <c r="F422" s="4" t="s">
        <v>90</v>
      </c>
      <c r="G422" s="5" t="s">
        <v>15</v>
      </c>
    </row>
    <row r="423" spans="2:7" x14ac:dyDescent="0.2">
      <c r="B423" s="3">
        <v>2009</v>
      </c>
      <c r="C423" s="3">
        <v>2</v>
      </c>
      <c r="D423" s="3">
        <v>2</v>
      </c>
      <c r="E423" s="3">
        <v>18</v>
      </c>
      <c r="F423" s="4" t="s">
        <v>90</v>
      </c>
      <c r="G423" s="5" t="s">
        <v>15</v>
      </c>
    </row>
    <row r="424" spans="2:7" x14ac:dyDescent="0.2">
      <c r="B424" s="3">
        <v>2009</v>
      </c>
      <c r="C424" s="3">
        <v>2</v>
      </c>
      <c r="D424" s="3">
        <v>2</v>
      </c>
      <c r="E424" s="3">
        <v>19</v>
      </c>
      <c r="F424" s="4" t="s">
        <v>90</v>
      </c>
      <c r="G424" s="5" t="s">
        <v>15</v>
      </c>
    </row>
    <row r="425" spans="2:7" x14ac:dyDescent="0.2">
      <c r="B425" s="3">
        <v>2009</v>
      </c>
      <c r="C425" s="3">
        <v>2</v>
      </c>
      <c r="D425" s="3">
        <v>2</v>
      </c>
      <c r="E425" s="3">
        <v>20</v>
      </c>
      <c r="F425" s="4" t="s">
        <v>90</v>
      </c>
      <c r="G425" s="5" t="s">
        <v>15</v>
      </c>
    </row>
    <row r="426" spans="2:7" x14ac:dyDescent="0.2">
      <c r="B426" s="3">
        <v>2009</v>
      </c>
      <c r="C426" s="3">
        <v>2</v>
      </c>
      <c r="D426" s="3">
        <v>2</v>
      </c>
      <c r="E426" s="3">
        <v>21</v>
      </c>
      <c r="F426" s="4" t="s">
        <v>91</v>
      </c>
      <c r="G426" s="5" t="s">
        <v>18</v>
      </c>
    </row>
    <row r="427" spans="2:7" x14ac:dyDescent="0.2">
      <c r="B427" s="3">
        <v>2009</v>
      </c>
      <c r="C427" s="3">
        <v>2</v>
      </c>
      <c r="D427" s="3">
        <v>2</v>
      </c>
      <c r="E427" s="3">
        <v>22</v>
      </c>
      <c r="F427" s="4" t="s">
        <v>91</v>
      </c>
      <c r="G427" s="5" t="s">
        <v>18</v>
      </c>
    </row>
    <row r="428" spans="2:7" x14ac:dyDescent="0.2">
      <c r="B428" s="3">
        <v>2009</v>
      </c>
      <c r="C428" s="3">
        <v>2</v>
      </c>
      <c r="D428" s="3">
        <v>2</v>
      </c>
      <c r="E428" s="3">
        <v>23</v>
      </c>
      <c r="F428" s="4" t="s">
        <v>91</v>
      </c>
      <c r="G428" s="5" t="s">
        <v>18</v>
      </c>
    </row>
    <row r="429" spans="2:7" x14ac:dyDescent="0.2">
      <c r="B429" s="3">
        <v>2009</v>
      </c>
      <c r="C429" s="3">
        <v>2</v>
      </c>
      <c r="D429" s="3">
        <v>2</v>
      </c>
      <c r="E429" s="3">
        <v>24</v>
      </c>
      <c r="F429" s="4" t="s">
        <v>91</v>
      </c>
      <c r="G429" s="5" t="s">
        <v>18</v>
      </c>
    </row>
    <row r="430" spans="2:7" x14ac:dyDescent="0.2">
      <c r="B430" s="3">
        <v>2009</v>
      </c>
      <c r="C430" s="3">
        <v>2</v>
      </c>
      <c r="D430" s="3">
        <v>2</v>
      </c>
      <c r="E430" s="3">
        <v>25</v>
      </c>
      <c r="F430" s="4" t="s">
        <v>91</v>
      </c>
      <c r="G430" s="5" t="s">
        <v>18</v>
      </c>
    </row>
    <row r="431" spans="2:7" x14ac:dyDescent="0.2">
      <c r="B431" s="3">
        <v>2009</v>
      </c>
      <c r="C431" s="3">
        <v>2</v>
      </c>
      <c r="D431" s="3">
        <v>1</v>
      </c>
      <c r="E431" s="3">
        <v>1</v>
      </c>
      <c r="F431" s="4" t="s">
        <v>92</v>
      </c>
      <c r="G431" s="5" t="s">
        <v>18</v>
      </c>
    </row>
    <row r="432" spans="2:7" x14ac:dyDescent="0.2">
      <c r="B432" s="3">
        <v>2009</v>
      </c>
      <c r="C432" s="3">
        <v>2</v>
      </c>
      <c r="D432" s="3">
        <v>1</v>
      </c>
      <c r="E432" s="3">
        <v>2</v>
      </c>
      <c r="F432" s="4" t="s">
        <v>92</v>
      </c>
      <c r="G432" s="5" t="s">
        <v>18</v>
      </c>
    </row>
    <row r="433" spans="2:7" x14ac:dyDescent="0.2">
      <c r="B433" s="3">
        <v>2009</v>
      </c>
      <c r="C433" s="3">
        <v>2</v>
      </c>
      <c r="D433" s="3">
        <v>1</v>
      </c>
      <c r="E433" s="3">
        <v>3</v>
      </c>
      <c r="F433" s="4" t="s">
        <v>92</v>
      </c>
      <c r="G433" s="5" t="s">
        <v>18</v>
      </c>
    </row>
    <row r="434" spans="2:7" x14ac:dyDescent="0.2">
      <c r="B434" s="3">
        <v>2009</v>
      </c>
      <c r="C434" s="3">
        <v>2</v>
      </c>
      <c r="D434" s="3">
        <v>1</v>
      </c>
      <c r="E434" s="3">
        <v>4</v>
      </c>
      <c r="F434" s="4" t="s">
        <v>92</v>
      </c>
      <c r="G434" s="5" t="s">
        <v>18</v>
      </c>
    </row>
    <row r="435" spans="2:7" x14ac:dyDescent="0.2">
      <c r="B435" s="3">
        <v>2009</v>
      </c>
      <c r="C435" s="3">
        <v>2</v>
      </c>
      <c r="D435" s="3">
        <v>1</v>
      </c>
      <c r="E435" s="3">
        <v>5</v>
      </c>
      <c r="F435" s="4" t="s">
        <v>92</v>
      </c>
      <c r="G435" s="5" t="s">
        <v>18</v>
      </c>
    </row>
    <row r="436" spans="2:7" x14ac:dyDescent="0.2">
      <c r="B436" s="3">
        <v>2009</v>
      </c>
      <c r="C436" s="3">
        <v>2</v>
      </c>
      <c r="D436" s="3">
        <v>1</v>
      </c>
      <c r="E436" s="3">
        <v>6</v>
      </c>
      <c r="F436" s="4" t="s">
        <v>93</v>
      </c>
      <c r="G436" s="5" t="s">
        <v>15</v>
      </c>
    </row>
    <row r="437" spans="2:7" x14ac:dyDescent="0.2">
      <c r="B437" s="3">
        <v>2009</v>
      </c>
      <c r="C437" s="3">
        <v>2</v>
      </c>
      <c r="D437" s="3">
        <v>1</v>
      </c>
      <c r="E437" s="3">
        <v>7</v>
      </c>
      <c r="F437" s="4" t="s">
        <v>93</v>
      </c>
      <c r="G437" s="5" t="s">
        <v>15</v>
      </c>
    </row>
    <row r="438" spans="2:7" x14ac:dyDescent="0.2">
      <c r="B438" s="3">
        <v>2009</v>
      </c>
      <c r="C438" s="3">
        <v>2</v>
      </c>
      <c r="D438" s="3">
        <v>1</v>
      </c>
      <c r="E438" s="3">
        <v>8</v>
      </c>
      <c r="F438" s="4" t="s">
        <v>93</v>
      </c>
      <c r="G438" s="5" t="s">
        <v>15</v>
      </c>
    </row>
    <row r="439" spans="2:7" x14ac:dyDescent="0.2">
      <c r="B439" s="3">
        <v>2009</v>
      </c>
      <c r="C439" s="3">
        <v>2</v>
      </c>
      <c r="D439" s="3">
        <v>1</v>
      </c>
      <c r="E439" s="3">
        <v>9</v>
      </c>
      <c r="F439" s="4" t="s">
        <v>93</v>
      </c>
      <c r="G439" s="5" t="s">
        <v>15</v>
      </c>
    </row>
    <row r="440" spans="2:7" x14ac:dyDescent="0.2">
      <c r="B440" s="3">
        <v>2009</v>
      </c>
      <c r="C440" s="3">
        <v>2</v>
      </c>
      <c r="D440" s="3">
        <v>1</v>
      </c>
      <c r="E440" s="3">
        <v>10</v>
      </c>
      <c r="F440" s="4" t="s">
        <v>93</v>
      </c>
      <c r="G440" s="5" t="s">
        <v>15</v>
      </c>
    </row>
    <row r="441" spans="2:7" x14ac:dyDescent="0.2">
      <c r="B441" s="3">
        <v>2009</v>
      </c>
      <c r="C441" s="3">
        <v>2</v>
      </c>
      <c r="D441" s="3">
        <v>1</v>
      </c>
      <c r="E441" s="3">
        <v>11</v>
      </c>
      <c r="F441" s="4" t="s">
        <v>94</v>
      </c>
      <c r="G441" s="15" t="s">
        <v>7</v>
      </c>
    </row>
    <row r="442" spans="2:7" x14ac:dyDescent="0.2">
      <c r="B442" s="3">
        <v>2009</v>
      </c>
      <c r="C442" s="3">
        <v>2</v>
      </c>
      <c r="D442" s="3">
        <v>1</v>
      </c>
      <c r="E442" s="3">
        <v>12</v>
      </c>
      <c r="F442" s="4" t="s">
        <v>94</v>
      </c>
      <c r="G442" s="15" t="s">
        <v>7</v>
      </c>
    </row>
    <row r="443" spans="2:7" x14ac:dyDescent="0.2">
      <c r="B443" s="3">
        <v>2009</v>
      </c>
      <c r="C443" s="3">
        <v>2</v>
      </c>
      <c r="D443" s="3">
        <v>1</v>
      </c>
      <c r="E443" s="3">
        <v>13</v>
      </c>
      <c r="F443" s="4" t="s">
        <v>94</v>
      </c>
      <c r="G443" s="15" t="s">
        <v>7</v>
      </c>
    </row>
    <row r="444" spans="2:7" x14ac:dyDescent="0.2">
      <c r="B444" s="3">
        <v>2009</v>
      </c>
      <c r="C444" s="3">
        <v>2</v>
      </c>
      <c r="D444" s="3">
        <v>1</v>
      </c>
      <c r="E444" s="3">
        <v>14</v>
      </c>
      <c r="F444" s="4" t="s">
        <v>94</v>
      </c>
      <c r="G444" s="15" t="s">
        <v>7</v>
      </c>
    </row>
    <row r="445" spans="2:7" x14ac:dyDescent="0.2">
      <c r="B445" s="3">
        <v>2009</v>
      </c>
      <c r="C445" s="3">
        <v>2</v>
      </c>
      <c r="D445" s="3">
        <v>1</v>
      </c>
      <c r="E445" s="3">
        <v>15</v>
      </c>
      <c r="F445" s="4" t="s">
        <v>94</v>
      </c>
      <c r="G445" s="15" t="s">
        <v>7</v>
      </c>
    </row>
    <row r="446" spans="2:7" x14ac:dyDescent="0.2">
      <c r="B446" s="3">
        <v>2009</v>
      </c>
      <c r="C446" s="3">
        <v>2</v>
      </c>
      <c r="D446" s="3">
        <v>1</v>
      </c>
      <c r="E446" s="3">
        <v>16</v>
      </c>
      <c r="F446" s="4" t="s">
        <v>95</v>
      </c>
      <c r="G446" s="5" t="s">
        <v>15</v>
      </c>
    </row>
    <row r="447" spans="2:7" x14ac:dyDescent="0.2">
      <c r="B447" s="3">
        <v>2009</v>
      </c>
      <c r="C447" s="3">
        <v>2</v>
      </c>
      <c r="D447" s="3">
        <v>1</v>
      </c>
      <c r="E447" s="3">
        <v>17</v>
      </c>
      <c r="F447" s="4" t="s">
        <v>95</v>
      </c>
      <c r="G447" s="5" t="s">
        <v>15</v>
      </c>
    </row>
    <row r="448" spans="2:7" x14ac:dyDescent="0.2">
      <c r="B448" s="3">
        <v>2009</v>
      </c>
      <c r="C448" s="3">
        <v>2</v>
      </c>
      <c r="D448" s="3">
        <v>1</v>
      </c>
      <c r="E448" s="3">
        <v>18</v>
      </c>
      <c r="F448" s="4" t="s">
        <v>95</v>
      </c>
      <c r="G448" s="5" t="s">
        <v>15</v>
      </c>
    </row>
    <row r="449" spans="2:7" x14ac:dyDescent="0.2">
      <c r="B449" s="3">
        <v>2009</v>
      </c>
      <c r="C449" s="3">
        <v>2</v>
      </c>
      <c r="D449" s="3">
        <v>1</v>
      </c>
      <c r="E449" s="3">
        <v>19</v>
      </c>
      <c r="F449" s="4" t="s">
        <v>95</v>
      </c>
      <c r="G449" s="5" t="s">
        <v>15</v>
      </c>
    </row>
    <row r="450" spans="2:7" x14ac:dyDescent="0.2">
      <c r="B450" s="3">
        <v>2009</v>
      </c>
      <c r="C450" s="3">
        <v>2</v>
      </c>
      <c r="D450" s="3">
        <v>1</v>
      </c>
      <c r="E450" s="3">
        <v>20</v>
      </c>
      <c r="F450" s="4" t="s">
        <v>95</v>
      </c>
      <c r="G450" s="5" t="s">
        <v>15</v>
      </c>
    </row>
  </sheetData>
  <autoFilter ref="B1:G450" xr:uid="{00000000-0009-0000-0000-000000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50"/>
  <sheetViews>
    <sheetView workbookViewId="0">
      <pane ySplit="1" topLeftCell="A2" activePane="bottomLeft" state="frozen"/>
      <selection pane="bottomLeft" activeCell="J12" sqref="J12"/>
    </sheetView>
  </sheetViews>
  <sheetFormatPr defaultColWidth="12.5703125" defaultRowHeight="15.75" customHeight="1" x14ac:dyDescent="0.2"/>
  <cols>
    <col min="1" max="1" width="1.42578125" customWidth="1"/>
    <col min="2" max="2" width="14.42578125" customWidth="1"/>
    <col min="3" max="4" width="15.140625" customWidth="1"/>
    <col min="5" max="5" width="19.42578125" customWidth="1"/>
    <col min="6" max="6" width="22" customWidth="1"/>
    <col min="7" max="7" width="21.42578125" customWidth="1"/>
    <col min="8" max="8" width="21.42578125" hidden="1" customWidth="1"/>
    <col min="9" max="9" width="31.42578125" customWidth="1"/>
    <col min="10" max="10" width="20.7109375" customWidth="1"/>
  </cols>
  <sheetData>
    <row r="1" spans="1:28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96</v>
      </c>
      <c r="I1" s="2" t="s">
        <v>97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">
      <c r="A2" s="16"/>
      <c r="B2" s="16">
        <v>2003</v>
      </c>
      <c r="C2" s="16">
        <v>0</v>
      </c>
      <c r="D2" s="16">
        <v>0</v>
      </c>
      <c r="E2" s="16">
        <v>1</v>
      </c>
      <c r="F2" s="17" t="s">
        <v>6</v>
      </c>
      <c r="G2" s="18" t="s">
        <v>98</v>
      </c>
      <c r="H2" s="18" t="s">
        <v>99</v>
      </c>
      <c r="I2" s="17" t="str">
        <f t="shared" ref="I2:I21" si="0">RIGHT(H2,LEN(H2) - (FIND("-",H2) + 1))</f>
        <v>Definição</v>
      </c>
    </row>
    <row r="3" spans="1:28" x14ac:dyDescent="0.2">
      <c r="A3" s="16"/>
      <c r="B3" s="16">
        <v>2003</v>
      </c>
      <c r="C3" s="16">
        <v>0</v>
      </c>
      <c r="D3" s="16">
        <v>0</v>
      </c>
      <c r="E3" s="16">
        <v>2</v>
      </c>
      <c r="F3" s="17" t="s">
        <v>6</v>
      </c>
      <c r="G3" s="18" t="s">
        <v>98</v>
      </c>
      <c r="H3" s="18" t="s">
        <v>99</v>
      </c>
      <c r="I3" s="17" t="str">
        <f t="shared" si="0"/>
        <v>Definição</v>
      </c>
      <c r="J3" s="6" t="s">
        <v>8</v>
      </c>
      <c r="K3" s="7">
        <v>281</v>
      </c>
      <c r="L3" s="8">
        <f t="shared" ref="L3:L6" si="1">ROUND((K3/$K$6)*100,2)%</f>
        <v>0.62580000000000002</v>
      </c>
    </row>
    <row r="4" spans="1:28" x14ac:dyDescent="0.2">
      <c r="A4" s="16"/>
      <c r="B4" s="16">
        <v>2003</v>
      </c>
      <c r="C4" s="16">
        <v>0</v>
      </c>
      <c r="D4" s="16">
        <v>0</v>
      </c>
      <c r="E4" s="16">
        <v>3</v>
      </c>
      <c r="F4" s="17" t="s">
        <v>10</v>
      </c>
      <c r="G4" s="18" t="s">
        <v>98</v>
      </c>
      <c r="H4" s="18" t="s">
        <v>100</v>
      </c>
      <c r="I4" s="17" t="str">
        <f t="shared" si="0"/>
        <v>Cálculo</v>
      </c>
      <c r="J4" s="19" t="s">
        <v>101</v>
      </c>
      <c r="K4" s="20">
        <v>66</v>
      </c>
      <c r="L4" s="21">
        <f t="shared" si="1"/>
        <v>0.14699999999999999</v>
      </c>
    </row>
    <row r="5" spans="1:28" x14ac:dyDescent="0.2">
      <c r="A5" s="16"/>
      <c r="B5" s="16">
        <v>2003</v>
      </c>
      <c r="C5" s="16">
        <v>0</v>
      </c>
      <c r="D5" s="16">
        <v>0</v>
      </c>
      <c r="E5" s="16">
        <v>4</v>
      </c>
      <c r="F5" s="17" t="s">
        <v>10</v>
      </c>
      <c r="G5" s="18" t="s">
        <v>98</v>
      </c>
      <c r="H5" s="18" t="s">
        <v>100</v>
      </c>
      <c r="I5" s="17" t="str">
        <f t="shared" si="0"/>
        <v>Cálculo</v>
      </c>
      <c r="J5" s="9" t="s">
        <v>9</v>
      </c>
      <c r="K5" s="10">
        <v>102</v>
      </c>
      <c r="L5" s="21">
        <f t="shared" si="1"/>
        <v>0.22719999999999999</v>
      </c>
    </row>
    <row r="6" spans="1:28" x14ac:dyDescent="0.2">
      <c r="A6" s="16"/>
      <c r="B6" s="16">
        <v>2003</v>
      </c>
      <c r="C6" s="16">
        <v>0</v>
      </c>
      <c r="D6" s="16">
        <v>0</v>
      </c>
      <c r="E6" s="16">
        <v>5</v>
      </c>
      <c r="F6" s="17" t="s">
        <v>13</v>
      </c>
      <c r="G6" s="18" t="s">
        <v>98</v>
      </c>
      <c r="H6" s="18" t="s">
        <v>99</v>
      </c>
      <c r="I6" s="17" t="str">
        <f t="shared" si="0"/>
        <v>Definição</v>
      </c>
      <c r="J6" s="12" t="s">
        <v>12</v>
      </c>
      <c r="K6" s="13">
        <f>SUM(K3:K5)</f>
        <v>449</v>
      </c>
      <c r="L6" s="14">
        <f t="shared" si="1"/>
        <v>1</v>
      </c>
    </row>
    <row r="7" spans="1:28" x14ac:dyDescent="0.2">
      <c r="A7" s="16"/>
      <c r="B7" s="16">
        <v>2003</v>
      </c>
      <c r="C7" s="16">
        <v>0</v>
      </c>
      <c r="D7" s="16">
        <v>0</v>
      </c>
      <c r="E7" s="16">
        <v>6</v>
      </c>
      <c r="F7" s="17" t="s">
        <v>13</v>
      </c>
      <c r="G7" s="18" t="s">
        <v>98</v>
      </c>
      <c r="H7" s="18" t="s">
        <v>99</v>
      </c>
      <c r="I7" s="17" t="str">
        <f t="shared" si="0"/>
        <v>Definição</v>
      </c>
    </row>
    <row r="8" spans="1:28" x14ac:dyDescent="0.2">
      <c r="A8" s="16"/>
      <c r="B8" s="16">
        <v>2003</v>
      </c>
      <c r="C8" s="16">
        <v>0</v>
      </c>
      <c r="D8" s="16">
        <v>0</v>
      </c>
      <c r="E8" s="16">
        <v>7</v>
      </c>
      <c r="F8" s="17" t="s">
        <v>13</v>
      </c>
      <c r="G8" s="18" t="s">
        <v>98</v>
      </c>
      <c r="H8" s="18" t="s">
        <v>99</v>
      </c>
      <c r="I8" s="17" t="str">
        <f t="shared" si="0"/>
        <v>Definição</v>
      </c>
    </row>
    <row r="9" spans="1:28" x14ac:dyDescent="0.2">
      <c r="A9" s="16"/>
      <c r="B9" s="16">
        <v>2003</v>
      </c>
      <c r="C9" s="16">
        <v>0</v>
      </c>
      <c r="D9" s="16">
        <v>0</v>
      </c>
      <c r="E9" s="16">
        <v>8</v>
      </c>
      <c r="F9" s="17" t="s">
        <v>13</v>
      </c>
      <c r="G9" s="18" t="s">
        <v>98</v>
      </c>
      <c r="H9" s="18" t="s">
        <v>99</v>
      </c>
      <c r="I9" s="17" t="str">
        <f t="shared" si="0"/>
        <v>Definição</v>
      </c>
    </row>
    <row r="10" spans="1:28" x14ac:dyDescent="0.2">
      <c r="A10" s="16"/>
      <c r="B10" s="16">
        <v>2003</v>
      </c>
      <c r="C10" s="16">
        <v>0</v>
      </c>
      <c r="D10" s="16">
        <v>0</v>
      </c>
      <c r="E10" s="16">
        <v>9</v>
      </c>
      <c r="F10" s="17" t="s">
        <v>14</v>
      </c>
      <c r="G10" s="18" t="s">
        <v>18</v>
      </c>
      <c r="H10" s="18" t="s">
        <v>102</v>
      </c>
      <c r="I10" s="17" t="str">
        <f t="shared" si="0"/>
        <v>Linear</v>
      </c>
    </row>
    <row r="11" spans="1:28" x14ac:dyDescent="0.2">
      <c r="A11" s="16"/>
      <c r="B11" s="16">
        <v>2003</v>
      </c>
      <c r="C11" s="16">
        <v>0</v>
      </c>
      <c r="D11" s="16">
        <v>0</v>
      </c>
      <c r="E11" s="16">
        <v>10</v>
      </c>
      <c r="F11" s="17" t="s">
        <v>14</v>
      </c>
      <c r="G11" s="18" t="s">
        <v>18</v>
      </c>
      <c r="H11" s="18" t="s">
        <v>102</v>
      </c>
      <c r="I11" s="17" t="str">
        <f t="shared" si="0"/>
        <v>Linear</v>
      </c>
    </row>
    <row r="12" spans="1:28" x14ac:dyDescent="0.2">
      <c r="A12" s="16"/>
      <c r="B12" s="16">
        <v>2003</v>
      </c>
      <c r="C12" s="16">
        <v>0</v>
      </c>
      <c r="D12" s="16">
        <v>0</v>
      </c>
      <c r="E12" s="16">
        <v>11</v>
      </c>
      <c r="F12" s="17" t="s">
        <v>14</v>
      </c>
      <c r="G12" s="18" t="s">
        <v>18</v>
      </c>
      <c r="H12" s="18" t="s">
        <v>102</v>
      </c>
      <c r="I12" s="17" t="str">
        <f t="shared" si="0"/>
        <v>Linear</v>
      </c>
    </row>
    <row r="13" spans="1:28" x14ac:dyDescent="0.2">
      <c r="A13" s="16"/>
      <c r="B13" s="16">
        <v>2003</v>
      </c>
      <c r="C13" s="16">
        <v>0</v>
      </c>
      <c r="D13" s="16">
        <v>0</v>
      </c>
      <c r="E13" s="16">
        <v>12</v>
      </c>
      <c r="F13" s="17" t="s">
        <v>14</v>
      </c>
      <c r="G13" s="18" t="s">
        <v>18</v>
      </c>
      <c r="H13" s="18" t="s">
        <v>102</v>
      </c>
      <c r="I13" s="17" t="str">
        <f t="shared" si="0"/>
        <v>Linear</v>
      </c>
    </row>
    <row r="14" spans="1:28" x14ac:dyDescent="0.2">
      <c r="A14" s="16"/>
      <c r="B14" s="16">
        <v>2003</v>
      </c>
      <c r="C14" s="16">
        <v>0</v>
      </c>
      <c r="D14" s="16">
        <v>0</v>
      </c>
      <c r="E14" s="16">
        <v>13</v>
      </c>
      <c r="F14" s="17" t="s">
        <v>16</v>
      </c>
      <c r="G14" s="18" t="s">
        <v>18</v>
      </c>
      <c r="H14" s="18" t="s">
        <v>102</v>
      </c>
      <c r="I14" s="17" t="str">
        <f t="shared" si="0"/>
        <v>Linear</v>
      </c>
    </row>
    <row r="15" spans="1:28" x14ac:dyDescent="0.2">
      <c r="A15" s="16"/>
      <c r="B15" s="16">
        <v>2003</v>
      </c>
      <c r="C15" s="16">
        <v>0</v>
      </c>
      <c r="D15" s="16">
        <v>0</v>
      </c>
      <c r="E15" s="16">
        <v>14</v>
      </c>
      <c r="F15" s="17" t="s">
        <v>16</v>
      </c>
      <c r="G15" s="18" t="s">
        <v>18</v>
      </c>
      <c r="H15" s="18" t="s">
        <v>102</v>
      </c>
      <c r="I15" s="17" t="str">
        <f t="shared" si="0"/>
        <v>Linear</v>
      </c>
    </row>
    <row r="16" spans="1:28" x14ac:dyDescent="0.2">
      <c r="A16" s="16"/>
      <c r="B16" s="16">
        <v>2003</v>
      </c>
      <c r="C16" s="16">
        <v>0</v>
      </c>
      <c r="D16" s="16">
        <v>0</v>
      </c>
      <c r="E16" s="16">
        <v>15</v>
      </c>
      <c r="F16" s="17" t="s">
        <v>16</v>
      </c>
      <c r="G16" s="18" t="s">
        <v>18</v>
      </c>
      <c r="H16" s="18" t="s">
        <v>102</v>
      </c>
      <c r="I16" s="17" t="str">
        <f t="shared" si="0"/>
        <v>Linear</v>
      </c>
    </row>
    <row r="17" spans="1:9" x14ac:dyDescent="0.2">
      <c r="A17" s="16"/>
      <c r="B17" s="16">
        <v>2003</v>
      </c>
      <c r="C17" s="16">
        <v>0</v>
      </c>
      <c r="D17" s="16">
        <v>0</v>
      </c>
      <c r="E17" s="16">
        <v>16</v>
      </c>
      <c r="F17" s="17" t="s">
        <v>16</v>
      </c>
      <c r="G17" s="18" t="s">
        <v>18</v>
      </c>
      <c r="H17" s="18" t="s">
        <v>102</v>
      </c>
      <c r="I17" s="17" t="str">
        <f t="shared" si="0"/>
        <v>Linear</v>
      </c>
    </row>
    <row r="18" spans="1:9" x14ac:dyDescent="0.2">
      <c r="A18" s="16"/>
      <c r="B18" s="16">
        <v>2004</v>
      </c>
      <c r="C18" s="16">
        <v>0</v>
      </c>
      <c r="D18" s="16">
        <v>0</v>
      </c>
      <c r="E18" s="16">
        <v>1</v>
      </c>
      <c r="F18" s="17" t="s">
        <v>17</v>
      </c>
      <c r="G18" s="18" t="s">
        <v>18</v>
      </c>
      <c r="H18" s="18" t="s">
        <v>102</v>
      </c>
      <c r="I18" s="17" t="str">
        <f t="shared" si="0"/>
        <v>Linear</v>
      </c>
    </row>
    <row r="19" spans="1:9" x14ac:dyDescent="0.2">
      <c r="A19" s="16"/>
      <c r="B19" s="16">
        <v>2004</v>
      </c>
      <c r="C19" s="16">
        <v>0</v>
      </c>
      <c r="D19" s="16">
        <v>0</v>
      </c>
      <c r="E19" s="16">
        <v>2</v>
      </c>
      <c r="F19" s="17" t="s">
        <v>17</v>
      </c>
      <c r="G19" s="18" t="s">
        <v>18</v>
      </c>
      <c r="H19" s="18" t="s">
        <v>102</v>
      </c>
      <c r="I19" s="17" t="str">
        <f t="shared" si="0"/>
        <v>Linear</v>
      </c>
    </row>
    <row r="20" spans="1:9" x14ac:dyDescent="0.2">
      <c r="A20" s="16"/>
      <c r="B20" s="16">
        <v>2004</v>
      </c>
      <c r="C20" s="16">
        <v>0</v>
      </c>
      <c r="D20" s="16">
        <v>0</v>
      </c>
      <c r="E20" s="16">
        <v>3</v>
      </c>
      <c r="F20" s="17" t="s">
        <v>17</v>
      </c>
      <c r="G20" s="18" t="s">
        <v>18</v>
      </c>
      <c r="H20" s="18" t="s">
        <v>102</v>
      </c>
      <c r="I20" s="17" t="str">
        <f t="shared" si="0"/>
        <v>Linear</v>
      </c>
    </row>
    <row r="21" spans="1:9" x14ac:dyDescent="0.2">
      <c r="A21" s="16"/>
      <c r="B21" s="16">
        <v>2004</v>
      </c>
      <c r="C21" s="16">
        <v>0</v>
      </c>
      <c r="D21" s="16">
        <v>0</v>
      </c>
      <c r="E21" s="16">
        <v>4</v>
      </c>
      <c r="F21" s="17" t="s">
        <v>17</v>
      </c>
      <c r="G21" s="18" t="s">
        <v>18</v>
      </c>
      <c r="H21" s="18" t="s">
        <v>102</v>
      </c>
      <c r="I21" s="17" t="str">
        <f t="shared" si="0"/>
        <v>Linear</v>
      </c>
    </row>
    <row r="22" spans="1:9" x14ac:dyDescent="0.2">
      <c r="A22" s="16"/>
      <c r="B22" s="16">
        <v>2004</v>
      </c>
      <c r="C22" s="16">
        <v>0</v>
      </c>
      <c r="D22" s="16">
        <v>0</v>
      </c>
      <c r="E22" s="16">
        <v>5</v>
      </c>
      <c r="F22" s="17" t="s">
        <v>19</v>
      </c>
      <c r="G22" s="22" t="s">
        <v>98</v>
      </c>
      <c r="H22" s="22" t="s">
        <v>103</v>
      </c>
      <c r="I22" s="17" t="s">
        <v>7</v>
      </c>
    </row>
    <row r="23" spans="1:9" x14ac:dyDescent="0.2">
      <c r="A23" s="16"/>
      <c r="B23" s="16">
        <v>2004</v>
      </c>
      <c r="C23" s="16">
        <v>0</v>
      </c>
      <c r="D23" s="16">
        <v>0</v>
      </c>
      <c r="E23" s="16">
        <v>6</v>
      </c>
      <c r="F23" s="17" t="s">
        <v>19</v>
      </c>
      <c r="G23" s="22" t="s">
        <v>98</v>
      </c>
      <c r="H23" s="22" t="s">
        <v>103</v>
      </c>
      <c r="I23" s="17" t="s">
        <v>7</v>
      </c>
    </row>
    <row r="24" spans="1:9" x14ac:dyDescent="0.2">
      <c r="A24" s="16"/>
      <c r="B24" s="16">
        <v>2004</v>
      </c>
      <c r="C24" s="16">
        <v>0</v>
      </c>
      <c r="D24" s="16">
        <v>0</v>
      </c>
      <c r="E24" s="16">
        <v>7</v>
      </c>
      <c r="F24" s="17" t="s">
        <v>19</v>
      </c>
      <c r="G24" s="22" t="s">
        <v>98</v>
      </c>
      <c r="H24" s="22" t="s">
        <v>103</v>
      </c>
      <c r="I24" s="17" t="s">
        <v>7</v>
      </c>
    </row>
    <row r="25" spans="1:9" x14ac:dyDescent="0.2">
      <c r="A25" s="16"/>
      <c r="B25" s="16">
        <v>2004</v>
      </c>
      <c r="C25" s="16">
        <v>0</v>
      </c>
      <c r="D25" s="16">
        <v>0</v>
      </c>
      <c r="E25" s="16">
        <v>8</v>
      </c>
      <c r="F25" s="17" t="s">
        <v>20</v>
      </c>
      <c r="G25" s="22" t="s">
        <v>98</v>
      </c>
      <c r="H25" s="22" t="s">
        <v>103</v>
      </c>
      <c r="I25" s="17" t="s">
        <v>7</v>
      </c>
    </row>
    <row r="26" spans="1:9" x14ac:dyDescent="0.2">
      <c r="A26" s="16"/>
      <c r="B26" s="16">
        <v>2004</v>
      </c>
      <c r="C26" s="16">
        <v>0</v>
      </c>
      <c r="D26" s="16">
        <v>0</v>
      </c>
      <c r="E26" s="16">
        <v>9</v>
      </c>
      <c r="F26" s="17" t="s">
        <v>20</v>
      </c>
      <c r="G26" s="22" t="s">
        <v>98</v>
      </c>
      <c r="H26" s="22" t="s">
        <v>103</v>
      </c>
      <c r="I26" s="17" t="s">
        <v>7</v>
      </c>
    </row>
    <row r="27" spans="1:9" x14ac:dyDescent="0.2">
      <c r="A27" s="16"/>
      <c r="B27" s="16">
        <v>2004</v>
      </c>
      <c r="C27" s="16">
        <v>0</v>
      </c>
      <c r="D27" s="16">
        <v>0</v>
      </c>
      <c r="E27" s="16">
        <v>10</v>
      </c>
      <c r="F27" s="17" t="s">
        <v>20</v>
      </c>
      <c r="G27" s="22" t="s">
        <v>98</v>
      </c>
      <c r="H27" s="22" t="s">
        <v>103</v>
      </c>
      <c r="I27" s="17" t="s">
        <v>7</v>
      </c>
    </row>
    <row r="28" spans="1:9" x14ac:dyDescent="0.2">
      <c r="A28" s="16"/>
      <c r="B28" s="16">
        <v>2004</v>
      </c>
      <c r="C28" s="16">
        <v>0</v>
      </c>
      <c r="D28" s="16">
        <v>0</v>
      </c>
      <c r="E28" s="16">
        <v>11</v>
      </c>
      <c r="F28" s="17" t="s">
        <v>20</v>
      </c>
      <c r="G28" s="22" t="s">
        <v>98</v>
      </c>
      <c r="H28" s="22" t="s">
        <v>103</v>
      </c>
      <c r="I28" s="17" t="s">
        <v>7</v>
      </c>
    </row>
    <row r="29" spans="1:9" x14ac:dyDescent="0.2">
      <c r="A29" s="16"/>
      <c r="B29" s="16">
        <v>2004</v>
      </c>
      <c r="C29" s="16">
        <v>0</v>
      </c>
      <c r="D29" s="16">
        <v>0</v>
      </c>
      <c r="E29" s="16">
        <v>12</v>
      </c>
      <c r="F29" s="17" t="s">
        <v>20</v>
      </c>
      <c r="G29" s="22" t="s">
        <v>98</v>
      </c>
      <c r="H29" s="22" t="s">
        <v>103</v>
      </c>
      <c r="I29" s="17" t="s">
        <v>7</v>
      </c>
    </row>
    <row r="30" spans="1:9" x14ac:dyDescent="0.2">
      <c r="A30" s="16"/>
      <c r="B30" s="16">
        <v>2004</v>
      </c>
      <c r="C30" s="16">
        <v>0</v>
      </c>
      <c r="D30" s="16">
        <v>0</v>
      </c>
      <c r="E30" s="16">
        <v>13</v>
      </c>
      <c r="F30" s="17" t="s">
        <v>21</v>
      </c>
      <c r="G30" s="22" t="s">
        <v>98</v>
      </c>
      <c r="H30" s="22" t="s">
        <v>100</v>
      </c>
      <c r="I30" s="17" t="str">
        <f t="shared" ref="I30:I142" si="2">RIGHT(H30,LEN(H30) - (FIND("-",H30) + 1))</f>
        <v>Cálculo</v>
      </c>
    </row>
    <row r="31" spans="1:9" x14ac:dyDescent="0.2">
      <c r="A31" s="16"/>
      <c r="B31" s="16">
        <v>2004</v>
      </c>
      <c r="C31" s="16">
        <v>0</v>
      </c>
      <c r="D31" s="16">
        <v>0</v>
      </c>
      <c r="E31" s="16">
        <v>14</v>
      </c>
      <c r="F31" s="17" t="s">
        <v>21</v>
      </c>
      <c r="G31" s="23" t="s">
        <v>98</v>
      </c>
      <c r="H31" s="23" t="s">
        <v>100</v>
      </c>
      <c r="I31" s="17" t="str">
        <f t="shared" si="2"/>
        <v>Cálculo</v>
      </c>
    </row>
    <row r="32" spans="1:9" x14ac:dyDescent="0.2">
      <c r="A32" s="16"/>
      <c r="B32" s="16">
        <v>2004</v>
      </c>
      <c r="C32" s="16">
        <v>0</v>
      </c>
      <c r="D32" s="16">
        <v>0</v>
      </c>
      <c r="E32" s="16">
        <v>15</v>
      </c>
      <c r="F32" s="17" t="s">
        <v>22</v>
      </c>
      <c r="G32" s="18" t="s">
        <v>98</v>
      </c>
      <c r="H32" s="18" t="s">
        <v>100</v>
      </c>
      <c r="I32" s="17" t="str">
        <f t="shared" si="2"/>
        <v>Cálculo</v>
      </c>
    </row>
    <row r="33" spans="1:9" x14ac:dyDescent="0.2">
      <c r="A33" s="16"/>
      <c r="B33" s="16">
        <v>2004</v>
      </c>
      <c r="C33" s="16">
        <v>0</v>
      </c>
      <c r="D33" s="16">
        <v>0</v>
      </c>
      <c r="E33" s="16">
        <v>16</v>
      </c>
      <c r="F33" s="17" t="s">
        <v>22</v>
      </c>
      <c r="G33" s="18" t="s">
        <v>98</v>
      </c>
      <c r="H33" s="18" t="s">
        <v>100</v>
      </c>
      <c r="I33" s="17" t="str">
        <f t="shared" si="2"/>
        <v>Cálculo</v>
      </c>
    </row>
    <row r="34" spans="1:9" x14ac:dyDescent="0.2">
      <c r="A34" s="16"/>
      <c r="B34" s="16">
        <v>2004</v>
      </c>
      <c r="C34" s="16">
        <v>0</v>
      </c>
      <c r="D34" s="16">
        <v>0</v>
      </c>
      <c r="E34" s="16">
        <v>17</v>
      </c>
      <c r="F34" s="17" t="s">
        <v>22</v>
      </c>
      <c r="G34" s="18" t="s">
        <v>98</v>
      </c>
      <c r="H34" s="18" t="s">
        <v>100</v>
      </c>
      <c r="I34" s="17" t="str">
        <f t="shared" si="2"/>
        <v>Cálculo</v>
      </c>
    </row>
    <row r="35" spans="1:9" x14ac:dyDescent="0.2">
      <c r="A35" s="16"/>
      <c r="B35" s="16">
        <v>2004</v>
      </c>
      <c r="C35" s="16">
        <v>0</v>
      </c>
      <c r="D35" s="16">
        <v>0</v>
      </c>
      <c r="E35" s="16">
        <v>18</v>
      </c>
      <c r="F35" s="17" t="s">
        <v>23</v>
      </c>
      <c r="G35" s="18" t="s">
        <v>98</v>
      </c>
      <c r="H35" s="18" t="s">
        <v>100</v>
      </c>
      <c r="I35" s="17" t="str">
        <f t="shared" si="2"/>
        <v>Cálculo</v>
      </c>
    </row>
    <row r="36" spans="1:9" x14ac:dyDescent="0.2">
      <c r="A36" s="16"/>
      <c r="B36" s="16">
        <v>2004</v>
      </c>
      <c r="C36" s="16">
        <v>0</v>
      </c>
      <c r="D36" s="16">
        <v>0</v>
      </c>
      <c r="E36" s="16">
        <v>19</v>
      </c>
      <c r="F36" s="17" t="s">
        <v>23</v>
      </c>
      <c r="G36" s="18" t="s">
        <v>98</v>
      </c>
      <c r="H36" s="18" t="s">
        <v>100</v>
      </c>
      <c r="I36" s="17" t="str">
        <f t="shared" si="2"/>
        <v>Cálculo</v>
      </c>
    </row>
    <row r="37" spans="1:9" x14ac:dyDescent="0.2">
      <c r="A37" s="16"/>
      <c r="B37" s="16">
        <v>2004</v>
      </c>
      <c r="C37" s="16">
        <v>0</v>
      </c>
      <c r="D37" s="16">
        <v>0</v>
      </c>
      <c r="E37" s="16">
        <v>20</v>
      </c>
      <c r="F37" s="17" t="s">
        <v>23</v>
      </c>
      <c r="G37" s="18" t="s">
        <v>98</v>
      </c>
      <c r="H37" s="18" t="s">
        <v>100</v>
      </c>
      <c r="I37" s="17" t="str">
        <f t="shared" si="2"/>
        <v>Cálculo</v>
      </c>
    </row>
    <row r="38" spans="1:9" x14ac:dyDescent="0.2">
      <c r="A38" s="16"/>
      <c r="B38" s="16">
        <v>2005</v>
      </c>
      <c r="C38" s="16">
        <v>1</v>
      </c>
      <c r="D38" s="16">
        <v>0</v>
      </c>
      <c r="E38" s="16">
        <v>1</v>
      </c>
      <c r="F38" s="17" t="s">
        <v>24</v>
      </c>
      <c r="G38" s="18" t="s">
        <v>15</v>
      </c>
      <c r="H38" s="18" t="s">
        <v>104</v>
      </c>
      <c r="I38" s="17" t="str">
        <f t="shared" si="2"/>
        <v>N-Grupos</v>
      </c>
    </row>
    <row r="39" spans="1:9" x14ac:dyDescent="0.2">
      <c r="A39" s="16"/>
      <c r="B39" s="16">
        <v>2005</v>
      </c>
      <c r="C39" s="16">
        <v>1</v>
      </c>
      <c r="D39" s="16">
        <v>0</v>
      </c>
      <c r="E39" s="16">
        <v>2</v>
      </c>
      <c r="F39" s="17" t="s">
        <v>24</v>
      </c>
      <c r="G39" s="18" t="s">
        <v>15</v>
      </c>
      <c r="H39" s="18" t="s">
        <v>104</v>
      </c>
      <c r="I39" s="17" t="str">
        <f t="shared" si="2"/>
        <v>N-Grupos</v>
      </c>
    </row>
    <row r="40" spans="1:9" x14ac:dyDescent="0.2">
      <c r="A40" s="16"/>
      <c r="B40" s="16">
        <v>2005</v>
      </c>
      <c r="C40" s="16">
        <v>1</v>
      </c>
      <c r="D40" s="16">
        <v>0</v>
      </c>
      <c r="E40" s="16">
        <v>3</v>
      </c>
      <c r="F40" s="17" t="s">
        <v>24</v>
      </c>
      <c r="G40" s="18" t="s">
        <v>15</v>
      </c>
      <c r="H40" s="18" t="s">
        <v>104</v>
      </c>
      <c r="I40" s="17" t="str">
        <f t="shared" si="2"/>
        <v>N-Grupos</v>
      </c>
    </row>
    <row r="41" spans="1:9" x14ac:dyDescent="0.2">
      <c r="A41" s="16"/>
      <c r="B41" s="16">
        <v>2005</v>
      </c>
      <c r="C41" s="16">
        <v>1</v>
      </c>
      <c r="D41" s="16">
        <v>0</v>
      </c>
      <c r="E41" s="16">
        <v>4</v>
      </c>
      <c r="F41" s="17" t="s">
        <v>24</v>
      </c>
      <c r="G41" s="18" t="s">
        <v>15</v>
      </c>
      <c r="H41" s="18" t="s">
        <v>104</v>
      </c>
      <c r="I41" s="17" t="str">
        <f t="shared" si="2"/>
        <v>N-Grupos</v>
      </c>
    </row>
    <row r="42" spans="1:9" x14ac:dyDescent="0.2">
      <c r="A42" s="16"/>
      <c r="B42" s="16">
        <v>2005</v>
      </c>
      <c r="C42" s="16">
        <v>1</v>
      </c>
      <c r="D42" s="16">
        <v>0</v>
      </c>
      <c r="E42" s="16">
        <v>5</v>
      </c>
      <c r="F42" s="17" t="s">
        <v>24</v>
      </c>
      <c r="G42" s="18" t="s">
        <v>15</v>
      </c>
      <c r="H42" s="18" t="s">
        <v>104</v>
      </c>
      <c r="I42" s="17" t="str">
        <f t="shared" si="2"/>
        <v>N-Grupos</v>
      </c>
    </row>
    <row r="43" spans="1:9" x14ac:dyDescent="0.2">
      <c r="A43" s="16"/>
      <c r="B43" s="16">
        <v>2005</v>
      </c>
      <c r="C43" s="16">
        <v>1</v>
      </c>
      <c r="D43" s="16">
        <v>0</v>
      </c>
      <c r="E43" s="16">
        <v>6</v>
      </c>
      <c r="F43" s="17" t="s">
        <v>24</v>
      </c>
      <c r="G43" s="18" t="s">
        <v>15</v>
      </c>
      <c r="H43" s="18" t="s">
        <v>104</v>
      </c>
      <c r="I43" s="17" t="str">
        <f t="shared" si="2"/>
        <v>N-Grupos</v>
      </c>
    </row>
    <row r="44" spans="1:9" x14ac:dyDescent="0.2">
      <c r="A44" s="16"/>
      <c r="B44" s="16">
        <v>2005</v>
      </c>
      <c r="C44" s="16">
        <v>1</v>
      </c>
      <c r="D44" s="16">
        <v>0</v>
      </c>
      <c r="E44" s="16">
        <v>7</v>
      </c>
      <c r="F44" s="17" t="s">
        <v>25</v>
      </c>
      <c r="G44" s="18" t="s">
        <v>18</v>
      </c>
      <c r="H44" s="18" t="s">
        <v>105</v>
      </c>
      <c r="I44" s="17" t="str">
        <f t="shared" si="2"/>
        <v>Circular</v>
      </c>
    </row>
    <row r="45" spans="1:9" x14ac:dyDescent="0.2">
      <c r="A45" s="16"/>
      <c r="B45" s="16">
        <v>2005</v>
      </c>
      <c r="C45" s="16">
        <v>1</v>
      </c>
      <c r="D45" s="16">
        <v>0</v>
      </c>
      <c r="E45" s="16">
        <v>8</v>
      </c>
      <c r="F45" s="17" t="s">
        <v>25</v>
      </c>
      <c r="G45" s="18" t="s">
        <v>18</v>
      </c>
      <c r="H45" s="18" t="s">
        <v>105</v>
      </c>
      <c r="I45" s="17" t="str">
        <f t="shared" si="2"/>
        <v>Circular</v>
      </c>
    </row>
    <row r="46" spans="1:9" x14ac:dyDescent="0.2">
      <c r="A46" s="16"/>
      <c r="B46" s="16">
        <v>2005</v>
      </c>
      <c r="C46" s="16">
        <v>1</v>
      </c>
      <c r="D46" s="16">
        <v>0</v>
      </c>
      <c r="E46" s="16">
        <v>9</v>
      </c>
      <c r="F46" s="17" t="s">
        <v>25</v>
      </c>
      <c r="G46" s="18" t="s">
        <v>18</v>
      </c>
      <c r="H46" s="18" t="s">
        <v>105</v>
      </c>
      <c r="I46" s="17" t="str">
        <f t="shared" si="2"/>
        <v>Circular</v>
      </c>
    </row>
    <row r="47" spans="1:9" x14ac:dyDescent="0.2">
      <c r="A47" s="16"/>
      <c r="B47" s="16">
        <v>2005</v>
      </c>
      <c r="C47" s="16">
        <v>1</v>
      </c>
      <c r="D47" s="16">
        <v>0</v>
      </c>
      <c r="E47" s="16">
        <v>10</v>
      </c>
      <c r="F47" s="17" t="s">
        <v>25</v>
      </c>
      <c r="G47" s="18" t="s">
        <v>18</v>
      </c>
      <c r="H47" s="18" t="s">
        <v>105</v>
      </c>
      <c r="I47" s="17" t="str">
        <f t="shared" si="2"/>
        <v>Circular</v>
      </c>
    </row>
    <row r="48" spans="1:9" x14ac:dyDescent="0.2">
      <c r="A48" s="16"/>
      <c r="B48" s="16">
        <v>2005</v>
      </c>
      <c r="C48" s="16">
        <v>1</v>
      </c>
      <c r="D48" s="16">
        <v>0</v>
      </c>
      <c r="E48" s="16">
        <v>11</v>
      </c>
      <c r="F48" s="17" t="s">
        <v>25</v>
      </c>
      <c r="G48" s="18" t="s">
        <v>18</v>
      </c>
      <c r="H48" s="18" t="s">
        <v>105</v>
      </c>
      <c r="I48" s="17" t="str">
        <f t="shared" si="2"/>
        <v>Circular</v>
      </c>
    </row>
    <row r="49" spans="1:9" x14ac:dyDescent="0.2">
      <c r="A49" s="16"/>
      <c r="B49" s="16">
        <v>2005</v>
      </c>
      <c r="C49" s="16">
        <v>1</v>
      </c>
      <c r="D49" s="16">
        <v>0</v>
      </c>
      <c r="E49" s="16">
        <v>12</v>
      </c>
      <c r="F49" s="17" t="s">
        <v>25</v>
      </c>
      <c r="G49" s="18" t="s">
        <v>18</v>
      </c>
      <c r="H49" s="18" t="s">
        <v>105</v>
      </c>
      <c r="I49" s="17" t="str">
        <f t="shared" si="2"/>
        <v>Circular</v>
      </c>
    </row>
    <row r="50" spans="1:9" x14ac:dyDescent="0.2">
      <c r="A50" s="16"/>
      <c r="B50" s="16">
        <v>2005</v>
      </c>
      <c r="C50" s="16">
        <v>1</v>
      </c>
      <c r="D50" s="16">
        <v>0</v>
      </c>
      <c r="E50" s="16">
        <v>13</v>
      </c>
      <c r="F50" s="17" t="s">
        <v>26</v>
      </c>
      <c r="G50" s="23" t="s">
        <v>98</v>
      </c>
      <c r="H50" s="23" t="s">
        <v>99</v>
      </c>
      <c r="I50" s="17" t="str">
        <f t="shared" si="2"/>
        <v>Definição</v>
      </c>
    </row>
    <row r="51" spans="1:9" x14ac:dyDescent="0.2">
      <c r="A51" s="16"/>
      <c r="B51" s="16">
        <v>2005</v>
      </c>
      <c r="C51" s="16">
        <v>1</v>
      </c>
      <c r="D51" s="16">
        <v>0</v>
      </c>
      <c r="E51" s="16">
        <v>14</v>
      </c>
      <c r="F51" s="17" t="s">
        <v>26</v>
      </c>
      <c r="G51" s="23" t="s">
        <v>98</v>
      </c>
      <c r="H51" s="23" t="s">
        <v>99</v>
      </c>
      <c r="I51" s="17" t="str">
        <f t="shared" si="2"/>
        <v>Definição</v>
      </c>
    </row>
    <row r="52" spans="1:9" x14ac:dyDescent="0.2">
      <c r="A52" s="16"/>
      <c r="B52" s="16">
        <v>2005</v>
      </c>
      <c r="C52" s="16">
        <v>1</v>
      </c>
      <c r="D52" s="16">
        <v>0</v>
      </c>
      <c r="E52" s="16">
        <v>15</v>
      </c>
      <c r="F52" s="17" t="s">
        <v>26</v>
      </c>
      <c r="G52" s="23" t="s">
        <v>98</v>
      </c>
      <c r="H52" s="23" t="s">
        <v>99</v>
      </c>
      <c r="I52" s="17" t="str">
        <f t="shared" si="2"/>
        <v>Definição</v>
      </c>
    </row>
    <row r="53" spans="1:9" x14ac:dyDescent="0.2">
      <c r="A53" s="16"/>
      <c r="B53" s="16">
        <v>2005</v>
      </c>
      <c r="C53" s="16">
        <v>1</v>
      </c>
      <c r="D53" s="16">
        <v>0</v>
      </c>
      <c r="E53" s="16">
        <v>16</v>
      </c>
      <c r="F53" s="17" t="s">
        <v>26</v>
      </c>
      <c r="G53" s="23" t="s">
        <v>98</v>
      </c>
      <c r="H53" s="23" t="s">
        <v>99</v>
      </c>
      <c r="I53" s="17" t="str">
        <f t="shared" si="2"/>
        <v>Definição</v>
      </c>
    </row>
    <row r="54" spans="1:9" x14ac:dyDescent="0.2">
      <c r="A54" s="16"/>
      <c r="B54" s="16">
        <v>2005</v>
      </c>
      <c r="C54" s="16">
        <v>1</v>
      </c>
      <c r="D54" s="16">
        <v>0</v>
      </c>
      <c r="E54" s="16">
        <v>17</v>
      </c>
      <c r="F54" s="17" t="s">
        <v>26</v>
      </c>
      <c r="G54" s="23" t="s">
        <v>98</v>
      </c>
      <c r="H54" s="23" t="s">
        <v>99</v>
      </c>
      <c r="I54" s="17" t="str">
        <f t="shared" si="2"/>
        <v>Definição</v>
      </c>
    </row>
    <row r="55" spans="1:9" x14ac:dyDescent="0.2">
      <c r="A55" s="16"/>
      <c r="B55" s="16">
        <v>2005</v>
      </c>
      <c r="C55" s="16">
        <v>1</v>
      </c>
      <c r="D55" s="16">
        <v>0</v>
      </c>
      <c r="E55" s="16">
        <v>18</v>
      </c>
      <c r="F55" s="17" t="s">
        <v>26</v>
      </c>
      <c r="G55" s="23" t="s">
        <v>98</v>
      </c>
      <c r="H55" s="23" t="s">
        <v>99</v>
      </c>
      <c r="I55" s="17" t="str">
        <f t="shared" si="2"/>
        <v>Definição</v>
      </c>
    </row>
    <row r="56" spans="1:9" x14ac:dyDescent="0.2">
      <c r="A56" s="16"/>
      <c r="B56" s="16">
        <v>2005</v>
      </c>
      <c r="C56" s="16">
        <v>1</v>
      </c>
      <c r="D56" s="16">
        <v>0</v>
      </c>
      <c r="E56" s="16">
        <v>19</v>
      </c>
      <c r="F56" s="17" t="s">
        <v>27</v>
      </c>
      <c r="G56" s="18" t="s">
        <v>98</v>
      </c>
      <c r="H56" s="18" t="s">
        <v>100</v>
      </c>
      <c r="I56" s="17" t="str">
        <f t="shared" si="2"/>
        <v>Cálculo</v>
      </c>
    </row>
    <row r="57" spans="1:9" x14ac:dyDescent="0.2">
      <c r="A57" s="16"/>
      <c r="B57" s="16">
        <v>2005</v>
      </c>
      <c r="C57" s="16">
        <v>1</v>
      </c>
      <c r="D57" s="16">
        <v>0</v>
      </c>
      <c r="E57" s="16">
        <v>20</v>
      </c>
      <c r="F57" s="17" t="s">
        <v>27</v>
      </c>
      <c r="G57" s="18" t="s">
        <v>98</v>
      </c>
      <c r="H57" s="18" t="s">
        <v>100</v>
      </c>
      <c r="I57" s="17" t="str">
        <f t="shared" si="2"/>
        <v>Cálculo</v>
      </c>
    </row>
    <row r="58" spans="1:9" x14ac:dyDescent="0.2">
      <c r="A58" s="16"/>
      <c r="B58" s="16">
        <v>2005</v>
      </c>
      <c r="C58" s="16">
        <v>2</v>
      </c>
      <c r="D58" s="16">
        <v>0</v>
      </c>
      <c r="E58" s="16">
        <v>1</v>
      </c>
      <c r="F58" s="17" t="s">
        <v>24</v>
      </c>
      <c r="G58" s="18" t="s">
        <v>15</v>
      </c>
      <c r="H58" s="18" t="s">
        <v>104</v>
      </c>
      <c r="I58" s="17" t="str">
        <f t="shared" si="2"/>
        <v>N-Grupos</v>
      </c>
    </row>
    <row r="59" spans="1:9" x14ac:dyDescent="0.2">
      <c r="A59" s="16"/>
      <c r="B59" s="16">
        <v>2005</v>
      </c>
      <c r="C59" s="16">
        <v>2</v>
      </c>
      <c r="D59" s="16">
        <v>0</v>
      </c>
      <c r="E59" s="16">
        <v>2</v>
      </c>
      <c r="F59" s="17" t="s">
        <v>24</v>
      </c>
      <c r="G59" s="18" t="s">
        <v>15</v>
      </c>
      <c r="H59" s="18" t="s">
        <v>104</v>
      </c>
      <c r="I59" s="17" t="str">
        <f t="shared" si="2"/>
        <v>N-Grupos</v>
      </c>
    </row>
    <row r="60" spans="1:9" x14ac:dyDescent="0.2">
      <c r="A60" s="16"/>
      <c r="B60" s="16">
        <v>2005</v>
      </c>
      <c r="C60" s="16">
        <v>2</v>
      </c>
      <c r="D60" s="16">
        <v>0</v>
      </c>
      <c r="E60" s="16">
        <v>3</v>
      </c>
      <c r="F60" s="17" t="s">
        <v>24</v>
      </c>
      <c r="G60" s="18" t="s">
        <v>15</v>
      </c>
      <c r="H60" s="18" t="s">
        <v>104</v>
      </c>
      <c r="I60" s="17" t="str">
        <f t="shared" si="2"/>
        <v>N-Grupos</v>
      </c>
    </row>
    <row r="61" spans="1:9" x14ac:dyDescent="0.2">
      <c r="A61" s="16"/>
      <c r="B61" s="16">
        <v>2005</v>
      </c>
      <c r="C61" s="16">
        <v>2</v>
      </c>
      <c r="D61" s="16">
        <v>0</v>
      </c>
      <c r="E61" s="16">
        <v>4</v>
      </c>
      <c r="F61" s="17" t="s">
        <v>24</v>
      </c>
      <c r="G61" s="18" t="s">
        <v>15</v>
      </c>
      <c r="H61" s="18" t="s">
        <v>104</v>
      </c>
      <c r="I61" s="17" t="str">
        <f t="shared" si="2"/>
        <v>N-Grupos</v>
      </c>
    </row>
    <row r="62" spans="1:9" x14ac:dyDescent="0.2">
      <c r="A62" s="16"/>
      <c r="B62" s="16">
        <v>2005</v>
      </c>
      <c r="C62" s="16">
        <v>2</v>
      </c>
      <c r="D62" s="16">
        <v>0</v>
      </c>
      <c r="E62" s="16">
        <v>5</v>
      </c>
      <c r="F62" s="17" t="s">
        <v>24</v>
      </c>
      <c r="G62" s="18" t="s">
        <v>15</v>
      </c>
      <c r="H62" s="18" t="s">
        <v>104</v>
      </c>
      <c r="I62" s="17" t="str">
        <f t="shared" si="2"/>
        <v>N-Grupos</v>
      </c>
    </row>
    <row r="63" spans="1:9" x14ac:dyDescent="0.2">
      <c r="A63" s="16"/>
      <c r="B63" s="16">
        <v>2005</v>
      </c>
      <c r="C63" s="16">
        <v>2</v>
      </c>
      <c r="D63" s="16">
        <v>0</v>
      </c>
      <c r="E63" s="16">
        <v>6</v>
      </c>
      <c r="F63" s="17" t="s">
        <v>24</v>
      </c>
      <c r="G63" s="18" t="s">
        <v>15</v>
      </c>
      <c r="H63" s="18" t="s">
        <v>104</v>
      </c>
      <c r="I63" s="17" t="str">
        <f t="shared" si="2"/>
        <v>N-Grupos</v>
      </c>
    </row>
    <row r="64" spans="1:9" x14ac:dyDescent="0.2">
      <c r="A64" s="16"/>
      <c r="B64" s="16">
        <v>2005</v>
      </c>
      <c r="C64" s="16">
        <v>2</v>
      </c>
      <c r="D64" s="16">
        <v>0</v>
      </c>
      <c r="E64" s="16">
        <v>7</v>
      </c>
      <c r="F64" s="17" t="s">
        <v>28</v>
      </c>
      <c r="G64" s="23" t="s">
        <v>18</v>
      </c>
      <c r="H64" s="23" t="s">
        <v>102</v>
      </c>
      <c r="I64" s="17" t="str">
        <f t="shared" si="2"/>
        <v>Linear</v>
      </c>
    </row>
    <row r="65" spans="1:9" x14ac:dyDescent="0.2">
      <c r="A65" s="16"/>
      <c r="B65" s="16">
        <v>2005</v>
      </c>
      <c r="C65" s="16">
        <v>2</v>
      </c>
      <c r="D65" s="16">
        <v>0</v>
      </c>
      <c r="E65" s="16">
        <v>8</v>
      </c>
      <c r="F65" s="17" t="s">
        <v>28</v>
      </c>
      <c r="G65" s="23" t="s">
        <v>18</v>
      </c>
      <c r="H65" s="23" t="s">
        <v>102</v>
      </c>
      <c r="I65" s="17" t="str">
        <f t="shared" si="2"/>
        <v>Linear</v>
      </c>
    </row>
    <row r="66" spans="1:9" x14ac:dyDescent="0.2">
      <c r="A66" s="16"/>
      <c r="B66" s="16">
        <v>2005</v>
      </c>
      <c r="C66" s="16">
        <v>2</v>
      </c>
      <c r="D66" s="16">
        <v>0</v>
      </c>
      <c r="E66" s="16">
        <v>9</v>
      </c>
      <c r="F66" s="17" t="s">
        <v>28</v>
      </c>
      <c r="G66" s="23" t="s">
        <v>18</v>
      </c>
      <c r="H66" s="23" t="s">
        <v>102</v>
      </c>
      <c r="I66" s="17" t="str">
        <f t="shared" si="2"/>
        <v>Linear</v>
      </c>
    </row>
    <row r="67" spans="1:9" x14ac:dyDescent="0.2">
      <c r="A67" s="16"/>
      <c r="B67" s="16">
        <v>2005</v>
      </c>
      <c r="C67" s="16">
        <v>2</v>
      </c>
      <c r="D67" s="16">
        <v>0</v>
      </c>
      <c r="E67" s="16">
        <v>10</v>
      </c>
      <c r="F67" s="17" t="s">
        <v>28</v>
      </c>
      <c r="G67" s="23" t="s">
        <v>18</v>
      </c>
      <c r="H67" s="23" t="s">
        <v>102</v>
      </c>
      <c r="I67" s="17" t="str">
        <f t="shared" si="2"/>
        <v>Linear</v>
      </c>
    </row>
    <row r="68" spans="1:9" x14ac:dyDescent="0.2">
      <c r="A68" s="16"/>
      <c r="B68" s="16">
        <v>2005</v>
      </c>
      <c r="C68" s="16">
        <v>2</v>
      </c>
      <c r="D68" s="16">
        <v>0</v>
      </c>
      <c r="E68" s="16">
        <v>11</v>
      </c>
      <c r="F68" s="17" t="s">
        <v>28</v>
      </c>
      <c r="G68" s="23" t="s">
        <v>18</v>
      </c>
      <c r="H68" s="23" t="s">
        <v>102</v>
      </c>
      <c r="I68" s="17" t="str">
        <f t="shared" si="2"/>
        <v>Linear</v>
      </c>
    </row>
    <row r="69" spans="1:9" x14ac:dyDescent="0.2">
      <c r="A69" s="16"/>
      <c r="B69" s="16">
        <v>2005</v>
      </c>
      <c r="C69" s="16">
        <v>2</v>
      </c>
      <c r="D69" s="16">
        <v>0</v>
      </c>
      <c r="E69" s="16">
        <v>12</v>
      </c>
      <c r="F69" s="17" t="s">
        <v>28</v>
      </c>
      <c r="G69" s="23" t="s">
        <v>18</v>
      </c>
      <c r="H69" s="23" t="s">
        <v>102</v>
      </c>
      <c r="I69" s="17" t="str">
        <f t="shared" si="2"/>
        <v>Linear</v>
      </c>
    </row>
    <row r="70" spans="1:9" x14ac:dyDescent="0.2">
      <c r="A70" s="16"/>
      <c r="B70" s="16">
        <v>2005</v>
      </c>
      <c r="C70" s="16">
        <v>2</v>
      </c>
      <c r="D70" s="16">
        <v>0</v>
      </c>
      <c r="E70" s="16">
        <v>13</v>
      </c>
      <c r="F70" s="17" t="s">
        <v>29</v>
      </c>
      <c r="G70" s="18" t="s">
        <v>15</v>
      </c>
      <c r="H70" s="18" t="s">
        <v>104</v>
      </c>
      <c r="I70" s="17" t="str">
        <f t="shared" si="2"/>
        <v>N-Grupos</v>
      </c>
    </row>
    <row r="71" spans="1:9" x14ac:dyDescent="0.2">
      <c r="A71" s="16"/>
      <c r="B71" s="16">
        <v>2005</v>
      </c>
      <c r="C71" s="16">
        <v>2</v>
      </c>
      <c r="D71" s="16">
        <v>0</v>
      </c>
      <c r="E71" s="16">
        <v>14</v>
      </c>
      <c r="F71" s="17" t="s">
        <v>29</v>
      </c>
      <c r="G71" s="18" t="s">
        <v>15</v>
      </c>
      <c r="H71" s="18" t="s">
        <v>104</v>
      </c>
      <c r="I71" s="17" t="str">
        <f t="shared" si="2"/>
        <v>N-Grupos</v>
      </c>
    </row>
    <row r="72" spans="1:9" x14ac:dyDescent="0.2">
      <c r="A72" s="16"/>
      <c r="B72" s="16">
        <v>2005</v>
      </c>
      <c r="C72" s="16">
        <v>2</v>
      </c>
      <c r="D72" s="16">
        <v>0</v>
      </c>
      <c r="E72" s="16">
        <v>15</v>
      </c>
      <c r="F72" s="17" t="s">
        <v>29</v>
      </c>
      <c r="G72" s="18" t="s">
        <v>15</v>
      </c>
      <c r="H72" s="18" t="s">
        <v>104</v>
      </c>
      <c r="I72" s="17" t="str">
        <f t="shared" si="2"/>
        <v>N-Grupos</v>
      </c>
    </row>
    <row r="73" spans="1:9" x14ac:dyDescent="0.2">
      <c r="A73" s="16"/>
      <c r="B73" s="16">
        <v>2005</v>
      </c>
      <c r="C73" s="16">
        <v>2</v>
      </c>
      <c r="D73" s="16">
        <v>0</v>
      </c>
      <c r="E73" s="16">
        <v>16</v>
      </c>
      <c r="F73" s="17" t="s">
        <v>29</v>
      </c>
      <c r="G73" s="18" t="s">
        <v>15</v>
      </c>
      <c r="H73" s="18" t="s">
        <v>104</v>
      </c>
      <c r="I73" s="17" t="str">
        <f t="shared" si="2"/>
        <v>N-Grupos</v>
      </c>
    </row>
    <row r="74" spans="1:9" x14ac:dyDescent="0.2">
      <c r="A74" s="16"/>
      <c r="B74" s="16">
        <v>2005</v>
      </c>
      <c r="C74" s="16">
        <v>2</v>
      </c>
      <c r="D74" s="16">
        <v>0</v>
      </c>
      <c r="E74" s="16">
        <v>17</v>
      </c>
      <c r="F74" s="17" t="s">
        <v>29</v>
      </c>
      <c r="G74" s="18" t="s">
        <v>15</v>
      </c>
      <c r="H74" s="18" t="s">
        <v>104</v>
      </c>
      <c r="I74" s="17" t="str">
        <f t="shared" si="2"/>
        <v>N-Grupos</v>
      </c>
    </row>
    <row r="75" spans="1:9" x14ac:dyDescent="0.2">
      <c r="A75" s="16"/>
      <c r="B75" s="16">
        <v>2005</v>
      </c>
      <c r="C75" s="16">
        <v>2</v>
      </c>
      <c r="D75" s="16">
        <v>0</v>
      </c>
      <c r="E75" s="16">
        <v>18</v>
      </c>
      <c r="F75" s="17" t="s">
        <v>29</v>
      </c>
      <c r="G75" s="18" t="s">
        <v>15</v>
      </c>
      <c r="H75" s="18" t="s">
        <v>104</v>
      </c>
      <c r="I75" s="17" t="str">
        <f t="shared" si="2"/>
        <v>N-Grupos</v>
      </c>
    </row>
    <row r="76" spans="1:9" x14ac:dyDescent="0.2">
      <c r="A76" s="16"/>
      <c r="B76" s="16">
        <v>2005</v>
      </c>
      <c r="C76" s="16">
        <v>2</v>
      </c>
      <c r="D76" s="16">
        <v>0</v>
      </c>
      <c r="E76" s="16">
        <v>19</v>
      </c>
      <c r="F76" s="17" t="s">
        <v>27</v>
      </c>
      <c r="G76" s="18" t="s">
        <v>98</v>
      </c>
      <c r="H76" s="18" t="s">
        <v>100</v>
      </c>
      <c r="I76" s="17" t="str">
        <f t="shared" si="2"/>
        <v>Cálculo</v>
      </c>
    </row>
    <row r="77" spans="1:9" x14ac:dyDescent="0.2">
      <c r="A77" s="16"/>
      <c r="B77" s="16">
        <v>2005</v>
      </c>
      <c r="C77" s="16">
        <v>2</v>
      </c>
      <c r="D77" s="16">
        <v>0</v>
      </c>
      <c r="E77" s="16">
        <v>20</v>
      </c>
      <c r="F77" s="17" t="s">
        <v>27</v>
      </c>
      <c r="G77" s="18" t="s">
        <v>98</v>
      </c>
      <c r="H77" s="18" t="s">
        <v>100</v>
      </c>
      <c r="I77" s="17" t="str">
        <f t="shared" si="2"/>
        <v>Cálculo</v>
      </c>
    </row>
    <row r="78" spans="1:9" x14ac:dyDescent="0.2">
      <c r="A78" s="16"/>
      <c r="B78" s="16">
        <v>2005</v>
      </c>
      <c r="C78" s="16">
        <v>2</v>
      </c>
      <c r="D78" s="16">
        <v>0</v>
      </c>
      <c r="E78" s="16">
        <v>21</v>
      </c>
      <c r="F78" s="17" t="s">
        <v>27</v>
      </c>
      <c r="G78" s="18" t="s">
        <v>98</v>
      </c>
      <c r="H78" s="18" t="s">
        <v>100</v>
      </c>
      <c r="I78" s="17" t="str">
        <f t="shared" si="2"/>
        <v>Cálculo</v>
      </c>
    </row>
    <row r="79" spans="1:9" x14ac:dyDescent="0.2">
      <c r="A79" s="16"/>
      <c r="B79" s="16">
        <v>2005</v>
      </c>
      <c r="C79" s="16">
        <v>2</v>
      </c>
      <c r="D79" s="16">
        <v>0</v>
      </c>
      <c r="E79" s="16">
        <v>22</v>
      </c>
      <c r="F79" s="17" t="s">
        <v>27</v>
      </c>
      <c r="G79" s="18" t="s">
        <v>98</v>
      </c>
      <c r="H79" s="18" t="s">
        <v>100</v>
      </c>
      <c r="I79" s="17" t="str">
        <f t="shared" si="2"/>
        <v>Cálculo</v>
      </c>
    </row>
    <row r="80" spans="1:9" x14ac:dyDescent="0.2">
      <c r="A80" s="16"/>
      <c r="B80" s="16">
        <v>2006</v>
      </c>
      <c r="C80" s="16">
        <v>1</v>
      </c>
      <c r="D80" s="16">
        <v>1</v>
      </c>
      <c r="E80" s="16">
        <v>1</v>
      </c>
      <c r="F80" s="17" t="s">
        <v>30</v>
      </c>
      <c r="G80" s="18" t="s">
        <v>18</v>
      </c>
      <c r="H80" s="18" t="s">
        <v>102</v>
      </c>
      <c r="I80" s="17" t="str">
        <f t="shared" si="2"/>
        <v>Linear</v>
      </c>
    </row>
    <row r="81" spans="1:9" x14ac:dyDescent="0.2">
      <c r="A81" s="16"/>
      <c r="B81" s="16">
        <v>2006</v>
      </c>
      <c r="C81" s="16">
        <v>1</v>
      </c>
      <c r="D81" s="16">
        <v>1</v>
      </c>
      <c r="E81" s="16">
        <v>2</v>
      </c>
      <c r="F81" s="17" t="s">
        <v>30</v>
      </c>
      <c r="G81" s="18" t="s">
        <v>18</v>
      </c>
      <c r="H81" s="18" t="s">
        <v>102</v>
      </c>
      <c r="I81" s="17" t="str">
        <f t="shared" si="2"/>
        <v>Linear</v>
      </c>
    </row>
    <row r="82" spans="1:9" x14ac:dyDescent="0.2">
      <c r="A82" s="16"/>
      <c r="B82" s="16">
        <v>2006</v>
      </c>
      <c r="C82" s="16">
        <v>1</v>
      </c>
      <c r="D82" s="16">
        <v>1</v>
      </c>
      <c r="E82" s="16">
        <v>3</v>
      </c>
      <c r="F82" s="17" t="s">
        <v>30</v>
      </c>
      <c r="G82" s="18" t="s">
        <v>18</v>
      </c>
      <c r="H82" s="18" t="s">
        <v>102</v>
      </c>
      <c r="I82" s="17" t="str">
        <f t="shared" si="2"/>
        <v>Linear</v>
      </c>
    </row>
    <row r="83" spans="1:9" x14ac:dyDescent="0.2">
      <c r="A83" s="16"/>
      <c r="B83" s="16">
        <v>2006</v>
      </c>
      <c r="C83" s="16">
        <v>1</v>
      </c>
      <c r="D83" s="16">
        <v>1</v>
      </c>
      <c r="E83" s="16">
        <v>4</v>
      </c>
      <c r="F83" s="17" t="s">
        <v>30</v>
      </c>
      <c r="G83" s="18" t="s">
        <v>18</v>
      </c>
      <c r="H83" s="18" t="s">
        <v>102</v>
      </c>
      <c r="I83" s="17" t="str">
        <f t="shared" si="2"/>
        <v>Linear</v>
      </c>
    </row>
    <row r="84" spans="1:9" x14ac:dyDescent="0.2">
      <c r="A84" s="16"/>
      <c r="B84" s="16">
        <v>2006</v>
      </c>
      <c r="C84" s="16">
        <v>1</v>
      </c>
      <c r="D84" s="16">
        <v>1</v>
      </c>
      <c r="E84" s="16">
        <v>5</v>
      </c>
      <c r="F84" s="17" t="s">
        <v>30</v>
      </c>
      <c r="G84" s="18" t="s">
        <v>18</v>
      </c>
      <c r="H84" s="18" t="s">
        <v>102</v>
      </c>
      <c r="I84" s="17" t="str">
        <f t="shared" si="2"/>
        <v>Linear</v>
      </c>
    </row>
    <row r="85" spans="1:9" x14ac:dyDescent="0.2">
      <c r="A85" s="16"/>
      <c r="B85" s="16">
        <v>2006</v>
      </c>
      <c r="C85" s="16">
        <v>1</v>
      </c>
      <c r="D85" s="16">
        <v>1</v>
      </c>
      <c r="E85" s="16">
        <v>6</v>
      </c>
      <c r="F85" s="17" t="s">
        <v>30</v>
      </c>
      <c r="G85" s="18" t="s">
        <v>18</v>
      </c>
      <c r="H85" s="18" t="s">
        <v>102</v>
      </c>
      <c r="I85" s="17" t="str">
        <f t="shared" si="2"/>
        <v>Linear</v>
      </c>
    </row>
    <row r="86" spans="1:9" x14ac:dyDescent="0.2">
      <c r="A86" s="16"/>
      <c r="B86" s="16">
        <v>2006</v>
      </c>
      <c r="C86" s="16">
        <v>1</v>
      </c>
      <c r="D86" s="16">
        <v>1</v>
      </c>
      <c r="E86" s="16">
        <v>7</v>
      </c>
      <c r="F86" s="17" t="s">
        <v>31</v>
      </c>
      <c r="G86" s="18" t="s">
        <v>98</v>
      </c>
      <c r="H86" s="18" t="s">
        <v>100</v>
      </c>
      <c r="I86" s="17" t="str">
        <f t="shared" si="2"/>
        <v>Cálculo</v>
      </c>
    </row>
    <row r="87" spans="1:9" x14ac:dyDescent="0.2">
      <c r="A87" s="16"/>
      <c r="B87" s="16">
        <v>2006</v>
      </c>
      <c r="C87" s="16">
        <v>1</v>
      </c>
      <c r="D87" s="16">
        <v>1</v>
      </c>
      <c r="E87" s="16">
        <v>8</v>
      </c>
      <c r="F87" s="17" t="s">
        <v>31</v>
      </c>
      <c r="G87" s="18" t="s">
        <v>98</v>
      </c>
      <c r="H87" s="18" t="s">
        <v>100</v>
      </c>
      <c r="I87" s="17" t="str">
        <f t="shared" si="2"/>
        <v>Cálculo</v>
      </c>
    </row>
    <row r="88" spans="1:9" x14ac:dyDescent="0.2">
      <c r="A88" s="16"/>
      <c r="B88" s="16">
        <v>2006</v>
      </c>
      <c r="C88" s="16">
        <v>1</v>
      </c>
      <c r="D88" s="16">
        <v>1</v>
      </c>
      <c r="E88" s="16">
        <v>9</v>
      </c>
      <c r="F88" s="17" t="s">
        <v>31</v>
      </c>
      <c r="G88" s="18" t="s">
        <v>98</v>
      </c>
      <c r="H88" s="18" t="s">
        <v>100</v>
      </c>
      <c r="I88" s="17" t="str">
        <f t="shared" si="2"/>
        <v>Cálculo</v>
      </c>
    </row>
    <row r="89" spans="1:9" x14ac:dyDescent="0.2">
      <c r="A89" s="16"/>
      <c r="B89" s="16">
        <v>2006</v>
      </c>
      <c r="C89" s="16">
        <v>1</v>
      </c>
      <c r="D89" s="16">
        <v>1</v>
      </c>
      <c r="E89" s="16">
        <v>10</v>
      </c>
      <c r="F89" s="17" t="s">
        <v>32</v>
      </c>
      <c r="G89" s="23" t="s">
        <v>18</v>
      </c>
      <c r="H89" s="23" t="s">
        <v>106</v>
      </c>
      <c r="I89" s="17" t="str">
        <f t="shared" si="2"/>
        <v>Livre</v>
      </c>
    </row>
    <row r="90" spans="1:9" x14ac:dyDescent="0.2">
      <c r="A90" s="16"/>
      <c r="B90" s="16">
        <v>2006</v>
      </c>
      <c r="C90" s="16">
        <v>1</v>
      </c>
      <c r="D90" s="16">
        <v>1</v>
      </c>
      <c r="E90" s="16">
        <v>11</v>
      </c>
      <c r="F90" s="17" t="s">
        <v>32</v>
      </c>
      <c r="G90" s="23" t="s">
        <v>18</v>
      </c>
      <c r="H90" s="23" t="s">
        <v>106</v>
      </c>
      <c r="I90" s="17" t="str">
        <f t="shared" si="2"/>
        <v>Livre</v>
      </c>
    </row>
    <row r="91" spans="1:9" x14ac:dyDescent="0.2">
      <c r="A91" s="16"/>
      <c r="B91" s="16">
        <v>2006</v>
      </c>
      <c r="C91" s="16">
        <v>1</v>
      </c>
      <c r="D91" s="16">
        <v>1</v>
      </c>
      <c r="E91" s="16">
        <v>12</v>
      </c>
      <c r="F91" s="17" t="s">
        <v>32</v>
      </c>
      <c r="G91" s="23" t="s">
        <v>18</v>
      </c>
      <c r="H91" s="23" t="s">
        <v>106</v>
      </c>
      <c r="I91" s="17" t="str">
        <f t="shared" si="2"/>
        <v>Livre</v>
      </c>
    </row>
    <row r="92" spans="1:9" x14ac:dyDescent="0.2">
      <c r="A92" s="16"/>
      <c r="B92" s="16">
        <v>2006</v>
      </c>
      <c r="C92" s="16">
        <v>1</v>
      </c>
      <c r="D92" s="16">
        <v>1</v>
      </c>
      <c r="E92" s="16">
        <v>13</v>
      </c>
      <c r="F92" s="17" t="s">
        <v>32</v>
      </c>
      <c r="G92" s="23" t="s">
        <v>18</v>
      </c>
      <c r="H92" s="23" t="s">
        <v>106</v>
      </c>
      <c r="I92" s="17" t="str">
        <f t="shared" si="2"/>
        <v>Livre</v>
      </c>
    </row>
    <row r="93" spans="1:9" x14ac:dyDescent="0.2">
      <c r="A93" s="16"/>
      <c r="B93" s="16">
        <v>2006</v>
      </c>
      <c r="C93" s="16">
        <v>1</v>
      </c>
      <c r="D93" s="16">
        <v>1</v>
      </c>
      <c r="E93" s="16">
        <v>14</v>
      </c>
      <c r="F93" s="17" t="s">
        <v>33</v>
      </c>
      <c r="G93" s="22" t="s">
        <v>98</v>
      </c>
      <c r="H93" s="22" t="s">
        <v>107</v>
      </c>
      <c r="I93" s="17" t="str">
        <f t="shared" si="2"/>
        <v>Grupos Ordenados</v>
      </c>
    </row>
    <row r="94" spans="1:9" x14ac:dyDescent="0.2">
      <c r="A94" s="16"/>
      <c r="B94" s="16">
        <v>2006</v>
      </c>
      <c r="C94" s="16">
        <v>1</v>
      </c>
      <c r="D94" s="16">
        <v>1</v>
      </c>
      <c r="E94" s="16">
        <v>15</v>
      </c>
      <c r="F94" s="17" t="s">
        <v>33</v>
      </c>
      <c r="G94" s="22" t="s">
        <v>98</v>
      </c>
      <c r="H94" s="22" t="s">
        <v>107</v>
      </c>
      <c r="I94" s="17" t="str">
        <f t="shared" si="2"/>
        <v>Grupos Ordenados</v>
      </c>
    </row>
    <row r="95" spans="1:9" x14ac:dyDescent="0.2">
      <c r="A95" s="16"/>
      <c r="B95" s="16">
        <v>2006</v>
      </c>
      <c r="C95" s="16">
        <v>1</v>
      </c>
      <c r="D95" s="16">
        <v>1</v>
      </c>
      <c r="E95" s="16">
        <v>16</v>
      </c>
      <c r="F95" s="17" t="s">
        <v>33</v>
      </c>
      <c r="G95" s="22" t="s">
        <v>98</v>
      </c>
      <c r="H95" s="22" t="s">
        <v>107</v>
      </c>
      <c r="I95" s="17" t="str">
        <f t="shared" si="2"/>
        <v>Grupos Ordenados</v>
      </c>
    </row>
    <row r="96" spans="1:9" x14ac:dyDescent="0.2">
      <c r="A96" s="16"/>
      <c r="B96" s="16">
        <v>2006</v>
      </c>
      <c r="C96" s="16">
        <v>2</v>
      </c>
      <c r="D96" s="16">
        <v>1</v>
      </c>
      <c r="E96" s="16">
        <v>1</v>
      </c>
      <c r="F96" s="17" t="s">
        <v>34</v>
      </c>
      <c r="G96" s="18" t="s">
        <v>18</v>
      </c>
      <c r="H96" s="18" t="s">
        <v>102</v>
      </c>
      <c r="I96" s="17" t="str">
        <f t="shared" si="2"/>
        <v>Linear</v>
      </c>
    </row>
    <row r="97" spans="1:9" x14ac:dyDescent="0.2">
      <c r="A97" s="16"/>
      <c r="B97" s="16">
        <v>2006</v>
      </c>
      <c r="C97" s="16">
        <v>2</v>
      </c>
      <c r="D97" s="16">
        <v>1</v>
      </c>
      <c r="E97" s="16">
        <v>2</v>
      </c>
      <c r="F97" s="17" t="s">
        <v>34</v>
      </c>
      <c r="G97" s="18" t="s">
        <v>18</v>
      </c>
      <c r="H97" s="18" t="s">
        <v>102</v>
      </c>
      <c r="I97" s="17" t="str">
        <f t="shared" si="2"/>
        <v>Linear</v>
      </c>
    </row>
    <row r="98" spans="1:9" x14ac:dyDescent="0.2">
      <c r="A98" s="16"/>
      <c r="B98" s="16">
        <v>2006</v>
      </c>
      <c r="C98" s="16">
        <v>2</v>
      </c>
      <c r="D98" s="16">
        <v>1</v>
      </c>
      <c r="E98" s="16">
        <v>3</v>
      </c>
      <c r="F98" s="17" t="s">
        <v>34</v>
      </c>
      <c r="G98" s="18" t="s">
        <v>18</v>
      </c>
      <c r="H98" s="18" t="s">
        <v>102</v>
      </c>
      <c r="I98" s="17" t="str">
        <f t="shared" si="2"/>
        <v>Linear</v>
      </c>
    </row>
    <row r="99" spans="1:9" x14ac:dyDescent="0.2">
      <c r="A99" s="16"/>
      <c r="B99" s="16">
        <v>2006</v>
      </c>
      <c r="C99" s="16">
        <v>2</v>
      </c>
      <c r="D99" s="16">
        <v>1</v>
      </c>
      <c r="E99" s="16">
        <v>4</v>
      </c>
      <c r="F99" s="17" t="s">
        <v>34</v>
      </c>
      <c r="G99" s="18" t="s">
        <v>18</v>
      </c>
      <c r="H99" s="18" t="s">
        <v>102</v>
      </c>
      <c r="I99" s="17" t="str">
        <f t="shared" si="2"/>
        <v>Linear</v>
      </c>
    </row>
    <row r="100" spans="1:9" x14ac:dyDescent="0.2">
      <c r="A100" s="16"/>
      <c r="B100" s="16">
        <v>2006</v>
      </c>
      <c r="C100" s="16">
        <v>2</v>
      </c>
      <c r="D100" s="16">
        <v>1</v>
      </c>
      <c r="E100" s="16">
        <v>5</v>
      </c>
      <c r="F100" s="17" t="s">
        <v>34</v>
      </c>
      <c r="G100" s="18" t="s">
        <v>18</v>
      </c>
      <c r="H100" s="18" t="s">
        <v>102</v>
      </c>
      <c r="I100" s="17" t="str">
        <f t="shared" si="2"/>
        <v>Linear</v>
      </c>
    </row>
    <row r="101" spans="1:9" x14ac:dyDescent="0.2">
      <c r="A101" s="16"/>
      <c r="B101" s="16">
        <v>2006</v>
      </c>
      <c r="C101" s="16">
        <v>2</v>
      </c>
      <c r="D101" s="16">
        <v>1</v>
      </c>
      <c r="E101" s="16">
        <v>6</v>
      </c>
      <c r="F101" s="17" t="s">
        <v>35</v>
      </c>
      <c r="G101" s="22" t="s">
        <v>15</v>
      </c>
      <c r="H101" s="22" t="s">
        <v>108</v>
      </c>
      <c r="I101" s="17" t="str">
        <f t="shared" si="2"/>
        <v>1 Grupo</v>
      </c>
    </row>
    <row r="102" spans="1:9" x14ac:dyDescent="0.2">
      <c r="A102" s="16"/>
      <c r="B102" s="16">
        <v>2006</v>
      </c>
      <c r="C102" s="16">
        <v>2</v>
      </c>
      <c r="D102" s="16">
        <v>1</v>
      </c>
      <c r="E102" s="16">
        <v>7</v>
      </c>
      <c r="F102" s="17" t="s">
        <v>35</v>
      </c>
      <c r="G102" s="22" t="s">
        <v>15</v>
      </c>
      <c r="H102" s="22" t="s">
        <v>108</v>
      </c>
      <c r="I102" s="17" t="str">
        <f t="shared" si="2"/>
        <v>1 Grupo</v>
      </c>
    </row>
    <row r="103" spans="1:9" x14ac:dyDescent="0.2">
      <c r="A103" s="16"/>
      <c r="B103" s="16">
        <v>2006</v>
      </c>
      <c r="C103" s="16">
        <v>2</v>
      </c>
      <c r="D103" s="16">
        <v>1</v>
      </c>
      <c r="E103" s="16">
        <v>8</v>
      </c>
      <c r="F103" s="17" t="s">
        <v>35</v>
      </c>
      <c r="G103" s="22" t="s">
        <v>15</v>
      </c>
      <c r="H103" s="22" t="s">
        <v>108</v>
      </c>
      <c r="I103" s="17" t="str">
        <f t="shared" si="2"/>
        <v>1 Grupo</v>
      </c>
    </row>
    <row r="104" spans="1:9" x14ac:dyDescent="0.2">
      <c r="A104" s="16"/>
      <c r="B104" s="16">
        <v>2006</v>
      </c>
      <c r="C104" s="16">
        <v>2</v>
      </c>
      <c r="D104" s="16">
        <v>1</v>
      </c>
      <c r="E104" s="16">
        <v>9</v>
      </c>
      <c r="F104" s="17" t="s">
        <v>35</v>
      </c>
      <c r="G104" s="22" t="s">
        <v>15</v>
      </c>
      <c r="H104" s="22" t="s">
        <v>108</v>
      </c>
      <c r="I104" s="17" t="str">
        <f t="shared" si="2"/>
        <v>1 Grupo</v>
      </c>
    </row>
    <row r="105" spans="1:9" x14ac:dyDescent="0.2">
      <c r="A105" s="16"/>
      <c r="B105" s="16">
        <v>2006</v>
      </c>
      <c r="C105" s="16">
        <v>2</v>
      </c>
      <c r="D105" s="16">
        <v>1</v>
      </c>
      <c r="E105" s="16">
        <v>10</v>
      </c>
      <c r="F105" s="17" t="s">
        <v>36</v>
      </c>
      <c r="G105" s="22" t="s">
        <v>15</v>
      </c>
      <c r="H105" s="22" t="s">
        <v>104</v>
      </c>
      <c r="I105" s="17" t="str">
        <f t="shared" si="2"/>
        <v>N-Grupos</v>
      </c>
    </row>
    <row r="106" spans="1:9" x14ac:dyDescent="0.2">
      <c r="A106" s="16"/>
      <c r="B106" s="16">
        <v>2006</v>
      </c>
      <c r="C106" s="16">
        <v>2</v>
      </c>
      <c r="D106" s="16">
        <v>1</v>
      </c>
      <c r="E106" s="16">
        <v>11</v>
      </c>
      <c r="F106" s="17" t="s">
        <v>36</v>
      </c>
      <c r="G106" s="22" t="s">
        <v>15</v>
      </c>
      <c r="H106" s="22" t="s">
        <v>104</v>
      </c>
      <c r="I106" s="17" t="str">
        <f t="shared" si="2"/>
        <v>N-Grupos</v>
      </c>
    </row>
    <row r="107" spans="1:9" x14ac:dyDescent="0.2">
      <c r="A107" s="16"/>
      <c r="B107" s="16">
        <v>2006</v>
      </c>
      <c r="C107" s="16">
        <v>2</v>
      </c>
      <c r="D107" s="16">
        <v>1</v>
      </c>
      <c r="E107" s="16">
        <v>12</v>
      </c>
      <c r="F107" s="17" t="s">
        <v>36</v>
      </c>
      <c r="G107" s="22" t="s">
        <v>15</v>
      </c>
      <c r="H107" s="22" t="s">
        <v>104</v>
      </c>
      <c r="I107" s="17" t="str">
        <f t="shared" si="2"/>
        <v>N-Grupos</v>
      </c>
    </row>
    <row r="108" spans="1:9" x14ac:dyDescent="0.2">
      <c r="A108" s="16"/>
      <c r="B108" s="16">
        <v>2006</v>
      </c>
      <c r="C108" s="16">
        <v>2</v>
      </c>
      <c r="D108" s="16">
        <v>1</v>
      </c>
      <c r="E108" s="16">
        <v>13</v>
      </c>
      <c r="F108" s="17" t="s">
        <v>36</v>
      </c>
      <c r="G108" s="22" t="s">
        <v>15</v>
      </c>
      <c r="H108" s="22" t="s">
        <v>104</v>
      </c>
      <c r="I108" s="17" t="str">
        <f t="shared" si="2"/>
        <v>N-Grupos</v>
      </c>
    </row>
    <row r="109" spans="1:9" x14ac:dyDescent="0.2">
      <c r="A109" s="16"/>
      <c r="B109" s="16">
        <v>2006</v>
      </c>
      <c r="C109" s="16">
        <v>2</v>
      </c>
      <c r="D109" s="16">
        <v>1</v>
      </c>
      <c r="E109" s="16">
        <v>14</v>
      </c>
      <c r="F109" s="17" t="s">
        <v>36</v>
      </c>
      <c r="G109" s="22" t="s">
        <v>15</v>
      </c>
      <c r="H109" s="22" t="s">
        <v>104</v>
      </c>
      <c r="I109" s="17" t="str">
        <f t="shared" si="2"/>
        <v>N-Grupos</v>
      </c>
    </row>
    <row r="110" spans="1:9" x14ac:dyDescent="0.2">
      <c r="A110" s="16"/>
      <c r="B110" s="16">
        <v>2006</v>
      </c>
      <c r="C110" s="16">
        <v>2</v>
      </c>
      <c r="D110" s="16">
        <v>1</v>
      </c>
      <c r="E110" s="16">
        <v>15</v>
      </c>
      <c r="F110" s="17" t="s">
        <v>37</v>
      </c>
      <c r="G110" s="18" t="s">
        <v>98</v>
      </c>
      <c r="H110" s="18" t="s">
        <v>100</v>
      </c>
      <c r="I110" s="17" t="str">
        <f t="shared" si="2"/>
        <v>Cálculo</v>
      </c>
    </row>
    <row r="111" spans="1:9" x14ac:dyDescent="0.2">
      <c r="A111" s="16"/>
      <c r="B111" s="16">
        <v>2006</v>
      </c>
      <c r="C111" s="16">
        <v>2</v>
      </c>
      <c r="D111" s="16">
        <v>1</v>
      </c>
      <c r="E111" s="16">
        <v>16</v>
      </c>
      <c r="F111" s="17" t="s">
        <v>37</v>
      </c>
      <c r="G111" s="18" t="s">
        <v>98</v>
      </c>
      <c r="H111" s="18" t="s">
        <v>100</v>
      </c>
      <c r="I111" s="17" t="str">
        <f t="shared" si="2"/>
        <v>Cálculo</v>
      </c>
    </row>
    <row r="112" spans="1:9" x14ac:dyDescent="0.2">
      <c r="A112" s="16"/>
      <c r="B112" s="16">
        <v>2006</v>
      </c>
      <c r="C112" s="16">
        <v>2</v>
      </c>
      <c r="D112" s="16">
        <v>1</v>
      </c>
      <c r="E112" s="16">
        <v>17</v>
      </c>
      <c r="F112" s="17" t="s">
        <v>37</v>
      </c>
      <c r="G112" s="18" t="s">
        <v>98</v>
      </c>
      <c r="H112" s="18" t="s">
        <v>100</v>
      </c>
      <c r="I112" s="17" t="str">
        <f t="shared" si="2"/>
        <v>Cálculo</v>
      </c>
    </row>
    <row r="113" spans="1:9" x14ac:dyDescent="0.2">
      <c r="A113" s="16"/>
      <c r="B113" s="16">
        <v>2006</v>
      </c>
      <c r="C113" s="16">
        <v>2</v>
      </c>
      <c r="D113" s="16">
        <v>1</v>
      </c>
      <c r="E113" s="16">
        <v>18</v>
      </c>
      <c r="F113" s="17" t="s">
        <v>33</v>
      </c>
      <c r="G113" s="22" t="s">
        <v>98</v>
      </c>
      <c r="H113" s="22" t="s">
        <v>107</v>
      </c>
      <c r="I113" s="17" t="str">
        <f t="shared" si="2"/>
        <v>Grupos Ordenados</v>
      </c>
    </row>
    <row r="114" spans="1:9" x14ac:dyDescent="0.2">
      <c r="A114" s="16"/>
      <c r="B114" s="16">
        <v>2006</v>
      </c>
      <c r="C114" s="16">
        <v>2</v>
      </c>
      <c r="D114" s="16">
        <v>1</v>
      </c>
      <c r="E114" s="16">
        <v>19</v>
      </c>
      <c r="F114" s="17" t="s">
        <v>33</v>
      </c>
      <c r="G114" s="22" t="s">
        <v>98</v>
      </c>
      <c r="H114" s="22" t="s">
        <v>107</v>
      </c>
      <c r="I114" s="17" t="str">
        <f t="shared" si="2"/>
        <v>Grupos Ordenados</v>
      </c>
    </row>
    <row r="115" spans="1:9" x14ac:dyDescent="0.2">
      <c r="A115" s="16"/>
      <c r="B115" s="16">
        <v>2006</v>
      </c>
      <c r="C115" s="16">
        <v>2</v>
      </c>
      <c r="D115" s="16">
        <v>1</v>
      </c>
      <c r="E115" s="16">
        <v>20</v>
      </c>
      <c r="F115" s="17" t="s">
        <v>33</v>
      </c>
      <c r="G115" s="22" t="s">
        <v>98</v>
      </c>
      <c r="H115" s="22" t="s">
        <v>107</v>
      </c>
      <c r="I115" s="17" t="str">
        <f t="shared" si="2"/>
        <v>Grupos Ordenados</v>
      </c>
    </row>
    <row r="116" spans="1:9" x14ac:dyDescent="0.2">
      <c r="A116" s="16"/>
      <c r="B116" s="16">
        <v>2006</v>
      </c>
      <c r="C116" s="16">
        <v>2</v>
      </c>
      <c r="D116" s="16">
        <v>1</v>
      </c>
      <c r="E116" s="16">
        <v>21</v>
      </c>
      <c r="F116" s="17" t="s">
        <v>33</v>
      </c>
      <c r="G116" s="22" t="s">
        <v>98</v>
      </c>
      <c r="H116" s="22" t="s">
        <v>107</v>
      </c>
      <c r="I116" s="17" t="str">
        <f t="shared" si="2"/>
        <v>Grupos Ordenados</v>
      </c>
    </row>
    <row r="117" spans="1:9" x14ac:dyDescent="0.2">
      <c r="A117" s="16"/>
      <c r="B117" s="16">
        <v>2006</v>
      </c>
      <c r="C117" s="16">
        <v>2</v>
      </c>
      <c r="D117" s="16">
        <v>1</v>
      </c>
      <c r="E117" s="16">
        <v>22</v>
      </c>
      <c r="F117" s="17" t="s">
        <v>38</v>
      </c>
      <c r="G117" s="18" t="s">
        <v>98</v>
      </c>
      <c r="H117" s="18" t="s">
        <v>99</v>
      </c>
      <c r="I117" s="17" t="str">
        <f t="shared" si="2"/>
        <v>Definição</v>
      </c>
    </row>
    <row r="118" spans="1:9" x14ac:dyDescent="0.2">
      <c r="A118" s="16"/>
      <c r="B118" s="16">
        <v>2006</v>
      </c>
      <c r="C118" s="16">
        <v>1</v>
      </c>
      <c r="D118" s="16">
        <v>2</v>
      </c>
      <c r="E118" s="16">
        <v>1</v>
      </c>
      <c r="F118" s="17" t="s">
        <v>39</v>
      </c>
      <c r="G118" s="18" t="s">
        <v>15</v>
      </c>
      <c r="H118" s="18" t="s">
        <v>108</v>
      </c>
      <c r="I118" s="17" t="str">
        <f t="shared" si="2"/>
        <v>1 Grupo</v>
      </c>
    </row>
    <row r="119" spans="1:9" x14ac:dyDescent="0.2">
      <c r="A119" s="16"/>
      <c r="B119" s="16">
        <v>2006</v>
      </c>
      <c r="C119" s="16">
        <v>1</v>
      </c>
      <c r="D119" s="16">
        <v>2</v>
      </c>
      <c r="E119" s="16">
        <v>2</v>
      </c>
      <c r="F119" s="17" t="s">
        <v>39</v>
      </c>
      <c r="G119" s="18" t="s">
        <v>15</v>
      </c>
      <c r="H119" s="18" t="s">
        <v>108</v>
      </c>
      <c r="I119" s="17" t="str">
        <f t="shared" si="2"/>
        <v>1 Grupo</v>
      </c>
    </row>
    <row r="120" spans="1:9" x14ac:dyDescent="0.2">
      <c r="A120" s="16"/>
      <c r="B120" s="16">
        <v>2006</v>
      </c>
      <c r="C120" s="16">
        <v>1</v>
      </c>
      <c r="D120" s="16">
        <v>2</v>
      </c>
      <c r="E120" s="16">
        <v>3</v>
      </c>
      <c r="F120" s="17" t="s">
        <v>39</v>
      </c>
      <c r="G120" s="18" t="s">
        <v>15</v>
      </c>
      <c r="H120" s="18" t="s">
        <v>108</v>
      </c>
      <c r="I120" s="17" t="str">
        <f t="shared" si="2"/>
        <v>1 Grupo</v>
      </c>
    </row>
    <row r="121" spans="1:9" x14ac:dyDescent="0.2">
      <c r="A121" s="16"/>
      <c r="B121" s="16">
        <v>2006</v>
      </c>
      <c r="C121" s="16">
        <v>1</v>
      </c>
      <c r="D121" s="16">
        <v>2</v>
      </c>
      <c r="E121" s="16">
        <v>4</v>
      </c>
      <c r="F121" s="17" t="s">
        <v>39</v>
      </c>
      <c r="G121" s="18" t="s">
        <v>15</v>
      </c>
      <c r="H121" s="18" t="s">
        <v>108</v>
      </c>
      <c r="I121" s="17" t="str">
        <f t="shared" si="2"/>
        <v>1 Grupo</v>
      </c>
    </row>
    <row r="122" spans="1:9" x14ac:dyDescent="0.2">
      <c r="A122" s="16"/>
      <c r="B122" s="16">
        <v>2006</v>
      </c>
      <c r="C122" s="16">
        <v>1</v>
      </c>
      <c r="D122" s="16">
        <v>2</v>
      </c>
      <c r="E122" s="16">
        <v>5</v>
      </c>
      <c r="F122" s="17" t="s">
        <v>39</v>
      </c>
      <c r="G122" s="18" t="s">
        <v>15</v>
      </c>
      <c r="H122" s="18" t="s">
        <v>108</v>
      </c>
      <c r="I122" s="17" t="str">
        <f t="shared" si="2"/>
        <v>1 Grupo</v>
      </c>
    </row>
    <row r="123" spans="1:9" x14ac:dyDescent="0.2">
      <c r="A123" s="16"/>
      <c r="B123" s="16">
        <v>2006</v>
      </c>
      <c r="C123" s="16">
        <v>1</v>
      </c>
      <c r="D123" s="16">
        <v>2</v>
      </c>
      <c r="E123" s="16">
        <v>6</v>
      </c>
      <c r="F123" s="17" t="s">
        <v>39</v>
      </c>
      <c r="G123" s="18" t="s">
        <v>15</v>
      </c>
      <c r="H123" s="18" t="s">
        <v>108</v>
      </c>
      <c r="I123" s="17" t="str">
        <f t="shared" si="2"/>
        <v>1 Grupo</v>
      </c>
    </row>
    <row r="124" spans="1:9" x14ac:dyDescent="0.2">
      <c r="A124" s="16"/>
      <c r="B124" s="16">
        <v>2006</v>
      </c>
      <c r="C124" s="16">
        <v>1</v>
      </c>
      <c r="D124" s="16">
        <v>2</v>
      </c>
      <c r="E124" s="16">
        <v>7</v>
      </c>
      <c r="F124" s="17" t="s">
        <v>39</v>
      </c>
      <c r="G124" s="18" t="s">
        <v>15</v>
      </c>
      <c r="H124" s="18" t="s">
        <v>108</v>
      </c>
      <c r="I124" s="17" t="str">
        <f t="shared" si="2"/>
        <v>1 Grupo</v>
      </c>
    </row>
    <row r="125" spans="1:9" x14ac:dyDescent="0.2">
      <c r="A125" s="16"/>
      <c r="B125" s="16">
        <v>2006</v>
      </c>
      <c r="C125" s="16">
        <v>1</v>
      </c>
      <c r="D125" s="16">
        <v>2</v>
      </c>
      <c r="E125" s="16">
        <v>8</v>
      </c>
      <c r="F125" s="17" t="s">
        <v>40</v>
      </c>
      <c r="G125" s="23" t="s">
        <v>18</v>
      </c>
      <c r="H125" s="23" t="s">
        <v>102</v>
      </c>
      <c r="I125" s="17" t="str">
        <f t="shared" si="2"/>
        <v>Linear</v>
      </c>
    </row>
    <row r="126" spans="1:9" x14ac:dyDescent="0.2">
      <c r="A126" s="16"/>
      <c r="B126" s="16">
        <v>2006</v>
      </c>
      <c r="C126" s="16">
        <v>1</v>
      </c>
      <c r="D126" s="16">
        <v>2</v>
      </c>
      <c r="E126" s="16">
        <v>9</v>
      </c>
      <c r="F126" s="17" t="s">
        <v>40</v>
      </c>
      <c r="G126" s="23" t="s">
        <v>18</v>
      </c>
      <c r="H126" s="23" t="s">
        <v>102</v>
      </c>
      <c r="I126" s="17" t="str">
        <f t="shared" si="2"/>
        <v>Linear</v>
      </c>
    </row>
    <row r="127" spans="1:9" x14ac:dyDescent="0.2">
      <c r="A127" s="16"/>
      <c r="B127" s="16">
        <v>2006</v>
      </c>
      <c r="C127" s="16">
        <v>1</v>
      </c>
      <c r="D127" s="16">
        <v>2</v>
      </c>
      <c r="E127" s="16">
        <v>10</v>
      </c>
      <c r="F127" s="17" t="s">
        <v>40</v>
      </c>
      <c r="G127" s="23" t="s">
        <v>18</v>
      </c>
      <c r="H127" s="23" t="s">
        <v>102</v>
      </c>
      <c r="I127" s="17" t="str">
        <f t="shared" si="2"/>
        <v>Linear</v>
      </c>
    </row>
    <row r="128" spans="1:9" x14ac:dyDescent="0.2">
      <c r="A128" s="16"/>
      <c r="B128" s="16">
        <v>2006</v>
      </c>
      <c r="C128" s="16">
        <v>1</v>
      </c>
      <c r="D128" s="16">
        <v>2</v>
      </c>
      <c r="E128" s="16">
        <v>11</v>
      </c>
      <c r="F128" s="17" t="s">
        <v>40</v>
      </c>
      <c r="G128" s="23" t="s">
        <v>18</v>
      </c>
      <c r="H128" s="23" t="s">
        <v>102</v>
      </c>
      <c r="I128" s="17" t="str">
        <f t="shared" si="2"/>
        <v>Linear</v>
      </c>
    </row>
    <row r="129" spans="1:9" x14ac:dyDescent="0.2">
      <c r="A129" s="16"/>
      <c r="B129" s="16">
        <v>2006</v>
      </c>
      <c r="C129" s="16">
        <v>1</v>
      </c>
      <c r="D129" s="16">
        <v>2</v>
      </c>
      <c r="E129" s="16">
        <v>12</v>
      </c>
      <c r="F129" s="17" t="s">
        <v>40</v>
      </c>
      <c r="G129" s="23" t="s">
        <v>18</v>
      </c>
      <c r="H129" s="23" t="s">
        <v>102</v>
      </c>
      <c r="I129" s="17" t="str">
        <f t="shared" si="2"/>
        <v>Linear</v>
      </c>
    </row>
    <row r="130" spans="1:9" x14ac:dyDescent="0.2">
      <c r="A130" s="16"/>
      <c r="B130" s="16">
        <v>2006</v>
      </c>
      <c r="C130" s="16">
        <v>1</v>
      </c>
      <c r="D130" s="16">
        <v>2</v>
      </c>
      <c r="E130" s="16">
        <v>13</v>
      </c>
      <c r="F130" s="17" t="s">
        <v>40</v>
      </c>
      <c r="G130" s="23" t="s">
        <v>18</v>
      </c>
      <c r="H130" s="23" t="s">
        <v>102</v>
      </c>
      <c r="I130" s="17" t="str">
        <f t="shared" si="2"/>
        <v>Linear</v>
      </c>
    </row>
    <row r="131" spans="1:9" x14ac:dyDescent="0.2">
      <c r="A131" s="16"/>
      <c r="B131" s="16">
        <v>2006</v>
      </c>
      <c r="C131" s="16">
        <v>1</v>
      </c>
      <c r="D131" s="16">
        <v>2</v>
      </c>
      <c r="E131" s="16">
        <v>14</v>
      </c>
      <c r="F131" s="17" t="s">
        <v>41</v>
      </c>
      <c r="G131" s="18" t="s">
        <v>18</v>
      </c>
      <c r="H131" s="18" t="s">
        <v>109</v>
      </c>
      <c r="I131" s="17" t="str">
        <f t="shared" si="2"/>
        <v>Quadrática</v>
      </c>
    </row>
    <row r="132" spans="1:9" x14ac:dyDescent="0.2">
      <c r="A132" s="16"/>
      <c r="B132" s="16">
        <v>2006</v>
      </c>
      <c r="C132" s="16">
        <v>1</v>
      </c>
      <c r="D132" s="16">
        <v>2</v>
      </c>
      <c r="E132" s="16">
        <v>15</v>
      </c>
      <c r="F132" s="17" t="s">
        <v>41</v>
      </c>
      <c r="G132" s="18" t="s">
        <v>18</v>
      </c>
      <c r="H132" s="18" t="s">
        <v>109</v>
      </c>
      <c r="I132" s="17" t="str">
        <f t="shared" si="2"/>
        <v>Quadrática</v>
      </c>
    </row>
    <row r="133" spans="1:9" x14ac:dyDescent="0.2">
      <c r="A133" s="16"/>
      <c r="B133" s="16">
        <v>2006</v>
      </c>
      <c r="C133" s="16">
        <v>1</v>
      </c>
      <c r="D133" s="16">
        <v>2</v>
      </c>
      <c r="E133" s="16">
        <v>16</v>
      </c>
      <c r="F133" s="17" t="s">
        <v>41</v>
      </c>
      <c r="G133" s="18" t="s">
        <v>18</v>
      </c>
      <c r="H133" s="18" t="s">
        <v>109</v>
      </c>
      <c r="I133" s="17" t="str">
        <f t="shared" si="2"/>
        <v>Quadrática</v>
      </c>
    </row>
    <row r="134" spans="1:9" x14ac:dyDescent="0.2">
      <c r="A134" s="16"/>
      <c r="B134" s="16">
        <v>2006</v>
      </c>
      <c r="C134" s="16">
        <v>1</v>
      </c>
      <c r="D134" s="16">
        <v>2</v>
      </c>
      <c r="E134" s="16">
        <v>17</v>
      </c>
      <c r="F134" s="17" t="s">
        <v>41</v>
      </c>
      <c r="G134" s="18" t="s">
        <v>18</v>
      </c>
      <c r="H134" s="18" t="s">
        <v>109</v>
      </c>
      <c r="I134" s="17" t="str">
        <f t="shared" si="2"/>
        <v>Quadrática</v>
      </c>
    </row>
    <row r="135" spans="1:9" x14ac:dyDescent="0.2">
      <c r="A135" s="16"/>
      <c r="B135" s="16">
        <v>2006</v>
      </c>
      <c r="C135" s="16">
        <v>1</v>
      </c>
      <c r="D135" s="16">
        <v>2</v>
      </c>
      <c r="E135" s="16">
        <v>18</v>
      </c>
      <c r="F135" s="17" t="s">
        <v>41</v>
      </c>
      <c r="G135" s="18" t="s">
        <v>18</v>
      </c>
      <c r="H135" s="18" t="s">
        <v>109</v>
      </c>
      <c r="I135" s="17" t="str">
        <f t="shared" si="2"/>
        <v>Quadrática</v>
      </c>
    </row>
    <row r="136" spans="1:9" x14ac:dyDescent="0.2">
      <c r="A136" s="16"/>
      <c r="B136" s="16">
        <v>2006</v>
      </c>
      <c r="C136" s="16">
        <v>1</v>
      </c>
      <c r="D136" s="16">
        <v>2</v>
      </c>
      <c r="E136" s="16">
        <v>19</v>
      </c>
      <c r="F136" s="17" t="s">
        <v>41</v>
      </c>
      <c r="G136" s="18" t="s">
        <v>18</v>
      </c>
      <c r="H136" s="18" t="s">
        <v>109</v>
      </c>
      <c r="I136" s="17" t="str">
        <f t="shared" si="2"/>
        <v>Quadrática</v>
      </c>
    </row>
    <row r="137" spans="1:9" x14ac:dyDescent="0.2">
      <c r="A137" s="16"/>
      <c r="B137" s="16">
        <v>2006</v>
      </c>
      <c r="C137" s="16">
        <v>1</v>
      </c>
      <c r="D137" s="16">
        <v>2</v>
      </c>
      <c r="E137" s="16">
        <v>20</v>
      </c>
      <c r="F137" s="17" t="s">
        <v>42</v>
      </c>
      <c r="G137" s="23" t="s">
        <v>15</v>
      </c>
      <c r="H137" s="23" t="s">
        <v>104</v>
      </c>
      <c r="I137" s="17" t="str">
        <f t="shared" si="2"/>
        <v>N-Grupos</v>
      </c>
    </row>
    <row r="138" spans="1:9" x14ac:dyDescent="0.2">
      <c r="A138" s="16"/>
      <c r="B138" s="16">
        <v>2006</v>
      </c>
      <c r="C138" s="16">
        <v>1</v>
      </c>
      <c r="D138" s="16">
        <v>2</v>
      </c>
      <c r="E138" s="16">
        <v>21</v>
      </c>
      <c r="F138" s="17" t="s">
        <v>42</v>
      </c>
      <c r="G138" s="23" t="s">
        <v>15</v>
      </c>
      <c r="H138" s="23" t="s">
        <v>104</v>
      </c>
      <c r="I138" s="17" t="str">
        <f t="shared" si="2"/>
        <v>N-Grupos</v>
      </c>
    </row>
    <row r="139" spans="1:9" x14ac:dyDescent="0.2">
      <c r="A139" s="16"/>
      <c r="B139" s="16">
        <v>2006</v>
      </c>
      <c r="C139" s="16">
        <v>1</v>
      </c>
      <c r="D139" s="16">
        <v>2</v>
      </c>
      <c r="E139" s="16">
        <v>22</v>
      </c>
      <c r="F139" s="17" t="s">
        <v>42</v>
      </c>
      <c r="G139" s="23" t="s">
        <v>15</v>
      </c>
      <c r="H139" s="23" t="s">
        <v>104</v>
      </c>
      <c r="I139" s="17" t="str">
        <f t="shared" si="2"/>
        <v>N-Grupos</v>
      </c>
    </row>
    <row r="140" spans="1:9" x14ac:dyDescent="0.2">
      <c r="A140" s="16"/>
      <c r="B140" s="16">
        <v>2006</v>
      </c>
      <c r="C140" s="16">
        <v>1</v>
      </c>
      <c r="D140" s="16">
        <v>2</v>
      </c>
      <c r="E140" s="16">
        <v>23</v>
      </c>
      <c r="F140" s="17" t="s">
        <v>42</v>
      </c>
      <c r="G140" s="23" t="s">
        <v>15</v>
      </c>
      <c r="H140" s="23" t="s">
        <v>104</v>
      </c>
      <c r="I140" s="17" t="str">
        <f t="shared" si="2"/>
        <v>N-Grupos</v>
      </c>
    </row>
    <row r="141" spans="1:9" x14ac:dyDescent="0.2">
      <c r="A141" s="16"/>
      <c r="B141" s="16">
        <v>2006</v>
      </c>
      <c r="C141" s="16">
        <v>1</v>
      </c>
      <c r="D141" s="16">
        <v>2</v>
      </c>
      <c r="E141" s="16">
        <v>24</v>
      </c>
      <c r="F141" s="17" t="s">
        <v>43</v>
      </c>
      <c r="G141" s="23" t="s">
        <v>98</v>
      </c>
      <c r="H141" s="23" t="s">
        <v>100</v>
      </c>
      <c r="I141" s="17" t="str">
        <f t="shared" si="2"/>
        <v>Cálculo</v>
      </c>
    </row>
    <row r="142" spans="1:9" x14ac:dyDescent="0.2">
      <c r="A142" s="16"/>
      <c r="B142" s="16">
        <v>2006</v>
      </c>
      <c r="C142" s="16">
        <v>1</v>
      </c>
      <c r="D142" s="16">
        <v>2</v>
      </c>
      <c r="E142" s="16">
        <v>25</v>
      </c>
      <c r="F142" s="17" t="s">
        <v>43</v>
      </c>
      <c r="G142" s="23" t="s">
        <v>98</v>
      </c>
      <c r="H142" s="23" t="s">
        <v>100</v>
      </c>
      <c r="I142" s="17" t="str">
        <f t="shared" si="2"/>
        <v>Cálculo</v>
      </c>
    </row>
    <row r="143" spans="1:9" x14ac:dyDescent="0.2">
      <c r="A143" s="16"/>
      <c r="B143" s="16">
        <v>2006</v>
      </c>
      <c r="C143" s="16">
        <v>1</v>
      </c>
      <c r="D143" s="16">
        <v>2</v>
      </c>
      <c r="E143" s="16">
        <v>26</v>
      </c>
      <c r="F143" s="17" t="s">
        <v>44</v>
      </c>
      <c r="G143" s="18" t="s">
        <v>98</v>
      </c>
      <c r="H143" s="24" t="s">
        <v>103</v>
      </c>
      <c r="I143" s="17" t="s">
        <v>7</v>
      </c>
    </row>
    <row r="144" spans="1:9" x14ac:dyDescent="0.2">
      <c r="A144" s="16"/>
      <c r="B144" s="16">
        <v>2006</v>
      </c>
      <c r="C144" s="16">
        <v>1</v>
      </c>
      <c r="D144" s="16">
        <v>2</v>
      </c>
      <c r="E144" s="16">
        <v>27</v>
      </c>
      <c r="F144" s="17" t="s">
        <v>44</v>
      </c>
      <c r="G144" s="18" t="s">
        <v>98</v>
      </c>
      <c r="H144" s="24" t="s">
        <v>103</v>
      </c>
      <c r="I144" s="17" t="s">
        <v>7</v>
      </c>
    </row>
    <row r="145" spans="1:9" x14ac:dyDescent="0.2">
      <c r="A145" s="16"/>
      <c r="B145" s="16">
        <v>2006</v>
      </c>
      <c r="C145" s="16">
        <v>1</v>
      </c>
      <c r="D145" s="16">
        <v>2</v>
      </c>
      <c r="E145" s="16">
        <v>28</v>
      </c>
      <c r="F145" s="17" t="s">
        <v>44</v>
      </c>
      <c r="G145" s="18" t="s">
        <v>98</v>
      </c>
      <c r="H145" s="24" t="s">
        <v>103</v>
      </c>
      <c r="I145" s="17" t="s">
        <v>7</v>
      </c>
    </row>
    <row r="146" spans="1:9" x14ac:dyDescent="0.2">
      <c r="A146" s="16"/>
      <c r="B146" s="16">
        <v>2006</v>
      </c>
      <c r="C146" s="16">
        <v>2</v>
      </c>
      <c r="D146" s="16">
        <v>2</v>
      </c>
      <c r="E146" s="16">
        <v>1</v>
      </c>
      <c r="F146" s="17" t="s">
        <v>45</v>
      </c>
      <c r="G146" s="18" t="s">
        <v>18</v>
      </c>
      <c r="H146" s="18" t="s">
        <v>106</v>
      </c>
      <c r="I146" s="17" t="str">
        <f t="shared" ref="I146:I173" si="3">RIGHT(H146,LEN(H146) - (FIND("-",H146) + 1))</f>
        <v>Livre</v>
      </c>
    </row>
    <row r="147" spans="1:9" x14ac:dyDescent="0.2">
      <c r="A147" s="16"/>
      <c r="B147" s="16">
        <v>2006</v>
      </c>
      <c r="C147" s="16">
        <v>2</v>
      </c>
      <c r="D147" s="16">
        <v>2</v>
      </c>
      <c r="E147" s="16">
        <v>2</v>
      </c>
      <c r="F147" s="17" t="s">
        <v>45</v>
      </c>
      <c r="G147" s="18" t="s">
        <v>18</v>
      </c>
      <c r="H147" s="18" t="s">
        <v>106</v>
      </c>
      <c r="I147" s="17" t="str">
        <f t="shared" si="3"/>
        <v>Livre</v>
      </c>
    </row>
    <row r="148" spans="1:9" x14ac:dyDescent="0.2">
      <c r="A148" s="16"/>
      <c r="B148" s="16">
        <v>2006</v>
      </c>
      <c r="C148" s="16">
        <v>2</v>
      </c>
      <c r="D148" s="16">
        <v>2</v>
      </c>
      <c r="E148" s="16">
        <v>3</v>
      </c>
      <c r="F148" s="17" t="s">
        <v>45</v>
      </c>
      <c r="G148" s="18" t="s">
        <v>18</v>
      </c>
      <c r="H148" s="18" t="s">
        <v>106</v>
      </c>
      <c r="I148" s="17" t="str">
        <f t="shared" si="3"/>
        <v>Livre</v>
      </c>
    </row>
    <row r="149" spans="1:9" x14ac:dyDescent="0.2">
      <c r="A149" s="16"/>
      <c r="B149" s="16">
        <v>2006</v>
      </c>
      <c r="C149" s="16">
        <v>2</v>
      </c>
      <c r="D149" s="16">
        <v>2</v>
      </c>
      <c r="E149" s="16">
        <v>4</v>
      </c>
      <c r="F149" s="17" t="s">
        <v>45</v>
      </c>
      <c r="G149" s="18" t="s">
        <v>18</v>
      </c>
      <c r="H149" s="18" t="s">
        <v>106</v>
      </c>
      <c r="I149" s="17" t="str">
        <f t="shared" si="3"/>
        <v>Livre</v>
      </c>
    </row>
    <row r="150" spans="1:9" x14ac:dyDescent="0.2">
      <c r="A150" s="16"/>
      <c r="B150" s="16">
        <v>2006</v>
      </c>
      <c r="C150" s="16">
        <v>2</v>
      </c>
      <c r="D150" s="16">
        <v>2</v>
      </c>
      <c r="E150" s="16">
        <v>5</v>
      </c>
      <c r="F150" s="17" t="s">
        <v>45</v>
      </c>
      <c r="G150" s="18" t="s">
        <v>18</v>
      </c>
      <c r="H150" s="18" t="s">
        <v>106</v>
      </c>
      <c r="I150" s="17" t="str">
        <f t="shared" si="3"/>
        <v>Livre</v>
      </c>
    </row>
    <row r="151" spans="1:9" x14ac:dyDescent="0.2">
      <c r="A151" s="16"/>
      <c r="B151" s="16">
        <v>2006</v>
      </c>
      <c r="C151" s="16">
        <v>2</v>
      </c>
      <c r="D151" s="16">
        <v>2</v>
      </c>
      <c r="E151" s="16">
        <v>6</v>
      </c>
      <c r="F151" s="17" t="s">
        <v>45</v>
      </c>
      <c r="G151" s="18" t="s">
        <v>18</v>
      </c>
      <c r="H151" s="18" t="s">
        <v>106</v>
      </c>
      <c r="I151" s="17" t="str">
        <f t="shared" si="3"/>
        <v>Livre</v>
      </c>
    </row>
    <row r="152" spans="1:9" x14ac:dyDescent="0.2">
      <c r="A152" s="16"/>
      <c r="B152" s="16">
        <v>2006</v>
      </c>
      <c r="C152" s="16">
        <v>2</v>
      </c>
      <c r="D152" s="16">
        <v>2</v>
      </c>
      <c r="E152" s="16">
        <v>7</v>
      </c>
      <c r="F152" s="17" t="s">
        <v>46</v>
      </c>
      <c r="G152" s="18" t="s">
        <v>15</v>
      </c>
      <c r="H152" s="18" t="s">
        <v>104</v>
      </c>
      <c r="I152" s="17" t="str">
        <f t="shared" si="3"/>
        <v>N-Grupos</v>
      </c>
    </row>
    <row r="153" spans="1:9" x14ac:dyDescent="0.2">
      <c r="A153" s="16"/>
      <c r="B153" s="16">
        <v>2006</v>
      </c>
      <c r="C153" s="16">
        <v>2</v>
      </c>
      <c r="D153" s="16">
        <v>2</v>
      </c>
      <c r="E153" s="16">
        <v>8</v>
      </c>
      <c r="F153" s="17" t="s">
        <v>46</v>
      </c>
      <c r="G153" s="18" t="s">
        <v>15</v>
      </c>
      <c r="H153" s="18" t="s">
        <v>104</v>
      </c>
      <c r="I153" s="17" t="str">
        <f t="shared" si="3"/>
        <v>N-Grupos</v>
      </c>
    </row>
    <row r="154" spans="1:9" x14ac:dyDescent="0.2">
      <c r="A154" s="16"/>
      <c r="B154" s="16">
        <v>2006</v>
      </c>
      <c r="C154" s="16">
        <v>2</v>
      </c>
      <c r="D154" s="16">
        <v>2</v>
      </c>
      <c r="E154" s="16">
        <v>9</v>
      </c>
      <c r="F154" s="17" t="s">
        <v>46</v>
      </c>
      <c r="G154" s="18" t="s">
        <v>15</v>
      </c>
      <c r="H154" s="18" t="s">
        <v>104</v>
      </c>
      <c r="I154" s="17" t="str">
        <f t="shared" si="3"/>
        <v>N-Grupos</v>
      </c>
    </row>
    <row r="155" spans="1:9" x14ac:dyDescent="0.2">
      <c r="A155" s="16"/>
      <c r="B155" s="16">
        <v>2006</v>
      </c>
      <c r="C155" s="16">
        <v>2</v>
      </c>
      <c r="D155" s="16">
        <v>2</v>
      </c>
      <c r="E155" s="16">
        <v>10</v>
      </c>
      <c r="F155" s="17" t="s">
        <v>46</v>
      </c>
      <c r="G155" s="18" t="s">
        <v>15</v>
      </c>
      <c r="H155" s="18" t="s">
        <v>104</v>
      </c>
      <c r="I155" s="17" t="str">
        <f t="shared" si="3"/>
        <v>N-Grupos</v>
      </c>
    </row>
    <row r="156" spans="1:9" x14ac:dyDescent="0.2">
      <c r="A156" s="16"/>
      <c r="B156" s="16">
        <v>2006</v>
      </c>
      <c r="C156" s="16">
        <v>2</v>
      </c>
      <c r="D156" s="16">
        <v>2</v>
      </c>
      <c r="E156" s="16">
        <v>11</v>
      </c>
      <c r="F156" s="17" t="s">
        <v>46</v>
      </c>
      <c r="G156" s="18" t="s">
        <v>15</v>
      </c>
      <c r="H156" s="18" t="s">
        <v>104</v>
      </c>
      <c r="I156" s="17" t="str">
        <f t="shared" si="3"/>
        <v>N-Grupos</v>
      </c>
    </row>
    <row r="157" spans="1:9" x14ac:dyDescent="0.2">
      <c r="A157" s="16"/>
      <c r="B157" s="16">
        <v>2006</v>
      </c>
      <c r="C157" s="16">
        <v>2</v>
      </c>
      <c r="D157" s="16">
        <v>2</v>
      </c>
      <c r="E157" s="16">
        <v>12</v>
      </c>
      <c r="F157" s="17" t="s">
        <v>42</v>
      </c>
      <c r="G157" s="23" t="s">
        <v>15</v>
      </c>
      <c r="H157" s="23" t="s">
        <v>104</v>
      </c>
      <c r="I157" s="17" t="str">
        <f t="shared" si="3"/>
        <v>N-Grupos</v>
      </c>
    </row>
    <row r="158" spans="1:9" x14ac:dyDescent="0.2">
      <c r="A158" s="16"/>
      <c r="B158" s="16">
        <v>2006</v>
      </c>
      <c r="C158" s="16">
        <v>2</v>
      </c>
      <c r="D158" s="16">
        <v>2</v>
      </c>
      <c r="E158" s="16">
        <v>13</v>
      </c>
      <c r="F158" s="17" t="s">
        <v>42</v>
      </c>
      <c r="G158" s="23" t="s">
        <v>15</v>
      </c>
      <c r="H158" s="23" t="s">
        <v>104</v>
      </c>
      <c r="I158" s="17" t="str">
        <f t="shared" si="3"/>
        <v>N-Grupos</v>
      </c>
    </row>
    <row r="159" spans="1:9" x14ac:dyDescent="0.2">
      <c r="A159" s="16"/>
      <c r="B159" s="16">
        <v>2006</v>
      </c>
      <c r="C159" s="16">
        <v>2</v>
      </c>
      <c r="D159" s="16">
        <v>2</v>
      </c>
      <c r="E159" s="16">
        <v>14</v>
      </c>
      <c r="F159" s="17" t="s">
        <v>42</v>
      </c>
      <c r="G159" s="23" t="s">
        <v>15</v>
      </c>
      <c r="H159" s="23" t="s">
        <v>104</v>
      </c>
      <c r="I159" s="17" t="str">
        <f t="shared" si="3"/>
        <v>N-Grupos</v>
      </c>
    </row>
    <row r="160" spans="1:9" x14ac:dyDescent="0.2">
      <c r="A160" s="16"/>
      <c r="B160" s="16">
        <v>2006</v>
      </c>
      <c r="C160" s="16">
        <v>2</v>
      </c>
      <c r="D160" s="16">
        <v>2</v>
      </c>
      <c r="E160" s="16">
        <v>15</v>
      </c>
      <c r="F160" s="17" t="s">
        <v>42</v>
      </c>
      <c r="G160" s="23" t="s">
        <v>15</v>
      </c>
      <c r="H160" s="23" t="s">
        <v>104</v>
      </c>
      <c r="I160" s="17" t="str">
        <f t="shared" si="3"/>
        <v>N-Grupos</v>
      </c>
    </row>
    <row r="161" spans="1:9" x14ac:dyDescent="0.2">
      <c r="A161" s="16"/>
      <c r="B161" s="16">
        <v>2006</v>
      </c>
      <c r="C161" s="16">
        <v>2</v>
      </c>
      <c r="D161" s="16">
        <v>2</v>
      </c>
      <c r="E161" s="16">
        <v>16</v>
      </c>
      <c r="F161" s="17" t="s">
        <v>47</v>
      </c>
      <c r="G161" s="22" t="s">
        <v>98</v>
      </c>
      <c r="H161" s="22" t="s">
        <v>99</v>
      </c>
      <c r="I161" s="17" t="str">
        <f t="shared" si="3"/>
        <v>Definição</v>
      </c>
    </row>
    <row r="162" spans="1:9" x14ac:dyDescent="0.2">
      <c r="A162" s="16"/>
      <c r="B162" s="16">
        <v>2006</v>
      </c>
      <c r="C162" s="16">
        <v>2</v>
      </c>
      <c r="D162" s="16">
        <v>2</v>
      </c>
      <c r="E162" s="16">
        <v>17</v>
      </c>
      <c r="F162" s="17" t="s">
        <v>47</v>
      </c>
      <c r="G162" s="22" t="s">
        <v>98</v>
      </c>
      <c r="H162" s="22" t="s">
        <v>99</v>
      </c>
      <c r="I162" s="17" t="str">
        <f t="shared" si="3"/>
        <v>Definição</v>
      </c>
    </row>
    <row r="163" spans="1:9" x14ac:dyDescent="0.2">
      <c r="A163" s="16"/>
      <c r="B163" s="16">
        <v>2006</v>
      </c>
      <c r="C163" s="16">
        <v>2</v>
      </c>
      <c r="D163" s="16">
        <v>2</v>
      </c>
      <c r="E163" s="16">
        <v>18</v>
      </c>
      <c r="F163" s="17" t="s">
        <v>47</v>
      </c>
      <c r="G163" s="22" t="s">
        <v>98</v>
      </c>
      <c r="H163" s="22" t="s">
        <v>99</v>
      </c>
      <c r="I163" s="17" t="str">
        <f t="shared" si="3"/>
        <v>Definição</v>
      </c>
    </row>
    <row r="164" spans="1:9" x14ac:dyDescent="0.2">
      <c r="A164" s="16"/>
      <c r="B164" s="16">
        <v>2006</v>
      </c>
      <c r="C164" s="16">
        <v>2</v>
      </c>
      <c r="D164" s="16">
        <v>2</v>
      </c>
      <c r="E164" s="16">
        <v>19</v>
      </c>
      <c r="F164" s="17" t="s">
        <v>47</v>
      </c>
      <c r="G164" s="22" t="s">
        <v>98</v>
      </c>
      <c r="H164" s="22" t="s">
        <v>99</v>
      </c>
      <c r="I164" s="17" t="str">
        <f t="shared" si="3"/>
        <v>Definição</v>
      </c>
    </row>
    <row r="165" spans="1:9" x14ac:dyDescent="0.2">
      <c r="A165" s="16"/>
      <c r="B165" s="16">
        <v>2006</v>
      </c>
      <c r="C165" s="16">
        <v>2</v>
      </c>
      <c r="D165" s="16">
        <v>2</v>
      </c>
      <c r="E165" s="16">
        <v>20</v>
      </c>
      <c r="F165" s="17" t="s">
        <v>47</v>
      </c>
      <c r="G165" s="22" t="s">
        <v>98</v>
      </c>
      <c r="H165" s="22" t="s">
        <v>99</v>
      </c>
      <c r="I165" s="17" t="str">
        <f t="shared" si="3"/>
        <v>Definição</v>
      </c>
    </row>
    <row r="166" spans="1:9" x14ac:dyDescent="0.2">
      <c r="A166" s="16"/>
      <c r="B166" s="16">
        <v>2006</v>
      </c>
      <c r="C166" s="16">
        <v>2</v>
      </c>
      <c r="D166" s="16">
        <v>2</v>
      </c>
      <c r="E166" s="16">
        <v>21</v>
      </c>
      <c r="F166" s="17" t="s">
        <v>47</v>
      </c>
      <c r="G166" s="22" t="s">
        <v>98</v>
      </c>
      <c r="H166" s="22" t="s">
        <v>99</v>
      </c>
      <c r="I166" s="17" t="str">
        <f t="shared" si="3"/>
        <v>Definição</v>
      </c>
    </row>
    <row r="167" spans="1:9" x14ac:dyDescent="0.2">
      <c r="A167" s="16"/>
      <c r="B167" s="16">
        <v>2006</v>
      </c>
      <c r="C167" s="16">
        <v>2</v>
      </c>
      <c r="D167" s="16">
        <v>2</v>
      </c>
      <c r="E167" s="16">
        <v>22</v>
      </c>
      <c r="F167" s="17" t="s">
        <v>48</v>
      </c>
      <c r="G167" s="18" t="s">
        <v>18</v>
      </c>
      <c r="H167" s="18" t="s">
        <v>106</v>
      </c>
      <c r="I167" s="17" t="str">
        <f t="shared" si="3"/>
        <v>Livre</v>
      </c>
    </row>
    <row r="168" spans="1:9" x14ac:dyDescent="0.2">
      <c r="A168" s="16"/>
      <c r="B168" s="16">
        <v>2006</v>
      </c>
      <c r="C168" s="16">
        <v>2</v>
      </c>
      <c r="D168" s="16">
        <v>2</v>
      </c>
      <c r="E168" s="16">
        <v>23</v>
      </c>
      <c r="F168" s="17" t="s">
        <v>48</v>
      </c>
      <c r="G168" s="18" t="s">
        <v>18</v>
      </c>
      <c r="H168" s="18" t="s">
        <v>106</v>
      </c>
      <c r="I168" s="17" t="str">
        <f t="shared" si="3"/>
        <v>Livre</v>
      </c>
    </row>
    <row r="169" spans="1:9" x14ac:dyDescent="0.2">
      <c r="A169" s="16"/>
      <c r="B169" s="16">
        <v>2006</v>
      </c>
      <c r="C169" s="16">
        <v>2</v>
      </c>
      <c r="D169" s="16">
        <v>2</v>
      </c>
      <c r="E169" s="16">
        <v>24</v>
      </c>
      <c r="F169" s="17" t="s">
        <v>48</v>
      </c>
      <c r="G169" s="18" t="s">
        <v>18</v>
      </c>
      <c r="H169" s="18" t="s">
        <v>106</v>
      </c>
      <c r="I169" s="17" t="str">
        <f t="shared" si="3"/>
        <v>Livre</v>
      </c>
    </row>
    <row r="170" spans="1:9" x14ac:dyDescent="0.2">
      <c r="A170" s="16"/>
      <c r="B170" s="16">
        <v>2006</v>
      </c>
      <c r="C170" s="16">
        <v>2</v>
      </c>
      <c r="D170" s="16">
        <v>2</v>
      </c>
      <c r="E170" s="16">
        <v>25</v>
      </c>
      <c r="F170" s="17" t="s">
        <v>48</v>
      </c>
      <c r="G170" s="18" t="s">
        <v>18</v>
      </c>
      <c r="H170" s="18" t="s">
        <v>106</v>
      </c>
      <c r="I170" s="17" t="str">
        <f t="shared" si="3"/>
        <v>Livre</v>
      </c>
    </row>
    <row r="171" spans="1:9" x14ac:dyDescent="0.2">
      <c r="A171" s="16"/>
      <c r="B171" s="16">
        <v>2006</v>
      </c>
      <c r="C171" s="16">
        <v>2</v>
      </c>
      <c r="D171" s="16">
        <v>2</v>
      </c>
      <c r="E171" s="16">
        <v>26</v>
      </c>
      <c r="F171" s="17" t="s">
        <v>48</v>
      </c>
      <c r="G171" s="18" t="s">
        <v>18</v>
      </c>
      <c r="H171" s="18" t="s">
        <v>106</v>
      </c>
      <c r="I171" s="17" t="str">
        <f t="shared" si="3"/>
        <v>Livre</v>
      </c>
    </row>
    <row r="172" spans="1:9" x14ac:dyDescent="0.2">
      <c r="A172" s="16"/>
      <c r="B172" s="16">
        <v>2006</v>
      </c>
      <c r="C172" s="16">
        <v>2</v>
      </c>
      <c r="D172" s="16">
        <v>2</v>
      </c>
      <c r="E172" s="16">
        <v>27</v>
      </c>
      <c r="F172" s="17" t="s">
        <v>48</v>
      </c>
      <c r="G172" s="18" t="s">
        <v>18</v>
      </c>
      <c r="H172" s="18" t="s">
        <v>106</v>
      </c>
      <c r="I172" s="17" t="str">
        <f t="shared" si="3"/>
        <v>Livre</v>
      </c>
    </row>
    <row r="173" spans="1:9" x14ac:dyDescent="0.2">
      <c r="A173" s="16"/>
      <c r="B173" s="16">
        <v>2006</v>
      </c>
      <c r="C173" s="16">
        <v>2</v>
      </c>
      <c r="D173" s="16">
        <v>2</v>
      </c>
      <c r="E173" s="16">
        <v>28</v>
      </c>
      <c r="F173" s="17" t="s">
        <v>48</v>
      </c>
      <c r="G173" s="18" t="s">
        <v>18</v>
      </c>
      <c r="H173" s="18" t="s">
        <v>106</v>
      </c>
      <c r="I173" s="17" t="str">
        <f t="shared" si="3"/>
        <v>Livre</v>
      </c>
    </row>
    <row r="174" spans="1:9" x14ac:dyDescent="0.2">
      <c r="A174" s="16"/>
      <c r="B174" s="16">
        <v>2006</v>
      </c>
      <c r="C174" s="16">
        <v>2</v>
      </c>
      <c r="D174" s="16">
        <v>2</v>
      </c>
      <c r="E174" s="16">
        <v>29</v>
      </c>
      <c r="F174" s="17" t="s">
        <v>44</v>
      </c>
      <c r="G174" s="18" t="s">
        <v>98</v>
      </c>
      <c r="H174" s="24" t="s">
        <v>103</v>
      </c>
      <c r="I174" s="17" t="s">
        <v>7</v>
      </c>
    </row>
    <row r="175" spans="1:9" x14ac:dyDescent="0.2">
      <c r="A175" s="16"/>
      <c r="B175" s="16">
        <v>2006</v>
      </c>
      <c r="C175" s="16">
        <v>2</v>
      </c>
      <c r="D175" s="16">
        <v>2</v>
      </c>
      <c r="E175" s="16">
        <v>30</v>
      </c>
      <c r="F175" s="17" t="s">
        <v>44</v>
      </c>
      <c r="G175" s="18" t="s">
        <v>98</v>
      </c>
      <c r="H175" s="24" t="s">
        <v>103</v>
      </c>
      <c r="I175" s="17" t="s">
        <v>7</v>
      </c>
    </row>
    <row r="176" spans="1:9" x14ac:dyDescent="0.2">
      <c r="A176" s="16"/>
      <c r="B176" s="16">
        <v>2006</v>
      </c>
      <c r="C176" s="16">
        <v>2</v>
      </c>
      <c r="D176" s="16">
        <v>2</v>
      </c>
      <c r="E176" s="16">
        <v>31</v>
      </c>
      <c r="F176" s="17" t="s">
        <v>44</v>
      </c>
      <c r="G176" s="18" t="s">
        <v>98</v>
      </c>
      <c r="H176" s="24" t="s">
        <v>103</v>
      </c>
      <c r="I176" s="17" t="s">
        <v>7</v>
      </c>
    </row>
    <row r="177" spans="1:9" x14ac:dyDescent="0.2">
      <c r="A177" s="16"/>
      <c r="B177" s="16">
        <v>2006</v>
      </c>
      <c r="C177" s="16">
        <v>2</v>
      </c>
      <c r="D177" s="16">
        <v>2</v>
      </c>
      <c r="E177" s="16">
        <v>32</v>
      </c>
      <c r="F177" s="17" t="s">
        <v>49</v>
      </c>
      <c r="G177" s="18" t="s">
        <v>98</v>
      </c>
      <c r="H177" s="18" t="s">
        <v>100</v>
      </c>
      <c r="I177" s="17" t="str">
        <f t="shared" ref="I177:I195" si="4">RIGHT(H177,LEN(H177) - (FIND("-",H177) + 1))</f>
        <v>Cálculo</v>
      </c>
    </row>
    <row r="178" spans="1:9" x14ac:dyDescent="0.2">
      <c r="A178" s="16"/>
      <c r="B178" s="16">
        <v>2006</v>
      </c>
      <c r="C178" s="16">
        <v>2</v>
      </c>
      <c r="D178" s="16">
        <v>2</v>
      </c>
      <c r="E178" s="16">
        <v>33</v>
      </c>
      <c r="F178" s="17" t="s">
        <v>49</v>
      </c>
      <c r="G178" s="18" t="s">
        <v>98</v>
      </c>
      <c r="H178" s="18" t="s">
        <v>100</v>
      </c>
      <c r="I178" s="17" t="str">
        <f t="shared" si="4"/>
        <v>Cálculo</v>
      </c>
    </row>
    <row r="179" spans="1:9" x14ac:dyDescent="0.2">
      <c r="A179" s="16"/>
      <c r="B179" s="16">
        <v>2006</v>
      </c>
      <c r="C179" s="16">
        <v>2</v>
      </c>
      <c r="D179" s="16">
        <v>2</v>
      </c>
      <c r="E179" s="16">
        <v>34</v>
      </c>
      <c r="F179" s="17" t="s">
        <v>49</v>
      </c>
      <c r="G179" s="18" t="s">
        <v>98</v>
      </c>
      <c r="H179" s="18" t="s">
        <v>100</v>
      </c>
      <c r="I179" s="17" t="str">
        <f t="shared" si="4"/>
        <v>Cálculo</v>
      </c>
    </row>
    <row r="180" spans="1:9" x14ac:dyDescent="0.2">
      <c r="A180" s="16"/>
      <c r="B180" s="16">
        <v>2006</v>
      </c>
      <c r="C180" s="16">
        <v>2</v>
      </c>
      <c r="D180" s="16">
        <v>2</v>
      </c>
      <c r="E180" s="16">
        <v>35</v>
      </c>
      <c r="F180" s="17" t="s">
        <v>49</v>
      </c>
      <c r="G180" s="18" t="s">
        <v>98</v>
      </c>
      <c r="H180" s="18" t="s">
        <v>100</v>
      </c>
      <c r="I180" s="17" t="str">
        <f t="shared" si="4"/>
        <v>Cálculo</v>
      </c>
    </row>
    <row r="181" spans="1:9" x14ac:dyDescent="0.2">
      <c r="A181" s="16"/>
      <c r="B181" s="16">
        <v>2007</v>
      </c>
      <c r="C181" s="16">
        <v>1</v>
      </c>
      <c r="D181" s="16">
        <v>1</v>
      </c>
      <c r="E181" s="16">
        <v>1</v>
      </c>
      <c r="F181" s="17" t="s">
        <v>50</v>
      </c>
      <c r="G181" s="18" t="s">
        <v>98</v>
      </c>
      <c r="H181" s="18" t="s">
        <v>100</v>
      </c>
      <c r="I181" s="17" t="str">
        <f t="shared" si="4"/>
        <v>Cálculo</v>
      </c>
    </row>
    <row r="182" spans="1:9" x14ac:dyDescent="0.2">
      <c r="A182" s="16"/>
      <c r="B182" s="16">
        <v>2007</v>
      </c>
      <c r="C182" s="16">
        <v>1</v>
      </c>
      <c r="D182" s="16">
        <v>1</v>
      </c>
      <c r="E182" s="16">
        <v>2</v>
      </c>
      <c r="F182" s="17" t="s">
        <v>50</v>
      </c>
      <c r="G182" s="22" t="s">
        <v>15</v>
      </c>
      <c r="H182" s="22" t="s">
        <v>108</v>
      </c>
      <c r="I182" s="17" t="str">
        <f t="shared" si="4"/>
        <v>1 Grupo</v>
      </c>
    </row>
    <row r="183" spans="1:9" x14ac:dyDescent="0.2">
      <c r="A183" s="16"/>
      <c r="B183" s="16">
        <v>2007</v>
      </c>
      <c r="C183" s="16">
        <v>1</v>
      </c>
      <c r="D183" s="16">
        <v>1</v>
      </c>
      <c r="E183" s="16">
        <v>3</v>
      </c>
      <c r="F183" s="17" t="s">
        <v>50</v>
      </c>
      <c r="G183" s="22" t="s">
        <v>15</v>
      </c>
      <c r="H183" s="22" t="s">
        <v>108</v>
      </c>
      <c r="I183" s="17" t="str">
        <f t="shared" si="4"/>
        <v>1 Grupo</v>
      </c>
    </row>
    <row r="184" spans="1:9" x14ac:dyDescent="0.2">
      <c r="A184" s="16"/>
      <c r="B184" s="16">
        <v>2007</v>
      </c>
      <c r="C184" s="16">
        <v>1</v>
      </c>
      <c r="D184" s="16">
        <v>1</v>
      </c>
      <c r="E184" s="16">
        <v>4</v>
      </c>
      <c r="F184" s="17" t="s">
        <v>50</v>
      </c>
      <c r="G184" s="18" t="s">
        <v>98</v>
      </c>
      <c r="H184" s="18" t="s">
        <v>100</v>
      </c>
      <c r="I184" s="17" t="str">
        <f t="shared" si="4"/>
        <v>Cálculo</v>
      </c>
    </row>
    <row r="185" spans="1:9" x14ac:dyDescent="0.2">
      <c r="A185" s="16"/>
      <c r="B185" s="16">
        <v>2007</v>
      </c>
      <c r="C185" s="16">
        <v>1</v>
      </c>
      <c r="D185" s="16">
        <v>1</v>
      </c>
      <c r="E185" s="16">
        <v>5</v>
      </c>
      <c r="F185" s="17" t="s">
        <v>50</v>
      </c>
      <c r="G185" s="18" t="s">
        <v>98</v>
      </c>
      <c r="H185" s="18" t="s">
        <v>100</v>
      </c>
      <c r="I185" s="17" t="str">
        <f t="shared" si="4"/>
        <v>Cálculo</v>
      </c>
    </row>
    <row r="186" spans="1:9" x14ac:dyDescent="0.2">
      <c r="A186" s="16"/>
      <c r="B186" s="16">
        <v>2007</v>
      </c>
      <c r="C186" s="16">
        <v>1</v>
      </c>
      <c r="D186" s="16">
        <v>1</v>
      </c>
      <c r="E186" s="16">
        <v>6</v>
      </c>
      <c r="F186" s="17" t="s">
        <v>51</v>
      </c>
      <c r="G186" s="23" t="s">
        <v>15</v>
      </c>
      <c r="H186" s="23" t="s">
        <v>110</v>
      </c>
      <c r="I186" s="17" t="str">
        <f t="shared" si="4"/>
        <v>N Grupos</v>
      </c>
    </row>
    <row r="187" spans="1:9" x14ac:dyDescent="0.2">
      <c r="A187" s="16"/>
      <c r="B187" s="16">
        <v>2007</v>
      </c>
      <c r="C187" s="16">
        <v>1</v>
      </c>
      <c r="D187" s="16">
        <v>1</v>
      </c>
      <c r="E187" s="16">
        <v>7</v>
      </c>
      <c r="F187" s="17" t="s">
        <v>51</v>
      </c>
      <c r="G187" s="23" t="s">
        <v>15</v>
      </c>
      <c r="H187" s="23" t="s">
        <v>110</v>
      </c>
      <c r="I187" s="17" t="str">
        <f t="shared" si="4"/>
        <v>N Grupos</v>
      </c>
    </row>
    <row r="188" spans="1:9" x14ac:dyDescent="0.2">
      <c r="A188" s="16"/>
      <c r="B188" s="16">
        <v>2007</v>
      </c>
      <c r="C188" s="16">
        <v>1</v>
      </c>
      <c r="D188" s="16">
        <v>1</v>
      </c>
      <c r="E188" s="16">
        <v>8</v>
      </c>
      <c r="F188" s="17" t="s">
        <v>51</v>
      </c>
      <c r="G188" s="23" t="s">
        <v>15</v>
      </c>
      <c r="H188" s="23" t="s">
        <v>110</v>
      </c>
      <c r="I188" s="17" t="str">
        <f t="shared" si="4"/>
        <v>N Grupos</v>
      </c>
    </row>
    <row r="189" spans="1:9" x14ac:dyDescent="0.2">
      <c r="A189" s="16"/>
      <c r="B189" s="16">
        <v>2007</v>
      </c>
      <c r="C189" s="16">
        <v>1</v>
      </c>
      <c r="D189" s="16">
        <v>1</v>
      </c>
      <c r="E189" s="16">
        <v>9</v>
      </c>
      <c r="F189" s="17" t="s">
        <v>51</v>
      </c>
      <c r="G189" s="23" t="s">
        <v>15</v>
      </c>
      <c r="H189" s="23" t="s">
        <v>110</v>
      </c>
      <c r="I189" s="17" t="str">
        <f t="shared" si="4"/>
        <v>N Grupos</v>
      </c>
    </row>
    <row r="190" spans="1:9" x14ac:dyDescent="0.2">
      <c r="A190" s="16"/>
      <c r="B190" s="16">
        <v>2007</v>
      </c>
      <c r="C190" s="16">
        <v>1</v>
      </c>
      <c r="D190" s="16">
        <v>1</v>
      </c>
      <c r="E190" s="16">
        <v>10</v>
      </c>
      <c r="F190" s="17" t="s">
        <v>51</v>
      </c>
      <c r="G190" s="23" t="s">
        <v>15</v>
      </c>
      <c r="H190" s="23" t="s">
        <v>110</v>
      </c>
      <c r="I190" s="17" t="str">
        <f t="shared" si="4"/>
        <v>N Grupos</v>
      </c>
    </row>
    <row r="191" spans="1:9" x14ac:dyDescent="0.2">
      <c r="A191" s="16"/>
      <c r="B191" s="16">
        <v>2007</v>
      </c>
      <c r="C191" s="16">
        <v>1</v>
      </c>
      <c r="D191" s="16">
        <v>1</v>
      </c>
      <c r="E191" s="16">
        <v>11</v>
      </c>
      <c r="F191" s="17" t="s">
        <v>52</v>
      </c>
      <c r="G191" s="18" t="s">
        <v>15</v>
      </c>
      <c r="H191" s="18" t="s">
        <v>108</v>
      </c>
      <c r="I191" s="17" t="str">
        <f t="shared" si="4"/>
        <v>1 Grupo</v>
      </c>
    </row>
    <row r="192" spans="1:9" x14ac:dyDescent="0.2">
      <c r="A192" s="16"/>
      <c r="B192" s="16">
        <v>2007</v>
      </c>
      <c r="C192" s="16">
        <v>1</v>
      </c>
      <c r="D192" s="16">
        <v>1</v>
      </c>
      <c r="E192" s="16">
        <v>12</v>
      </c>
      <c r="F192" s="17" t="s">
        <v>52</v>
      </c>
      <c r="G192" s="18" t="s">
        <v>15</v>
      </c>
      <c r="H192" s="18" t="s">
        <v>108</v>
      </c>
      <c r="I192" s="17" t="str">
        <f t="shared" si="4"/>
        <v>1 Grupo</v>
      </c>
    </row>
    <row r="193" spans="1:9" x14ac:dyDescent="0.2">
      <c r="A193" s="16"/>
      <c r="B193" s="16">
        <v>2007</v>
      </c>
      <c r="C193" s="16">
        <v>1</v>
      </c>
      <c r="D193" s="16">
        <v>1</v>
      </c>
      <c r="E193" s="16">
        <v>13</v>
      </c>
      <c r="F193" s="17" t="s">
        <v>52</v>
      </c>
      <c r="G193" s="18" t="s">
        <v>15</v>
      </c>
      <c r="H193" s="18" t="s">
        <v>108</v>
      </c>
      <c r="I193" s="17" t="str">
        <f t="shared" si="4"/>
        <v>1 Grupo</v>
      </c>
    </row>
    <row r="194" spans="1:9" x14ac:dyDescent="0.2">
      <c r="A194" s="16"/>
      <c r="B194" s="16">
        <v>2007</v>
      </c>
      <c r="C194" s="16">
        <v>1</v>
      </c>
      <c r="D194" s="16">
        <v>1</v>
      </c>
      <c r="E194" s="16">
        <v>14</v>
      </c>
      <c r="F194" s="17" t="s">
        <v>52</v>
      </c>
      <c r="G194" s="22" t="s">
        <v>98</v>
      </c>
      <c r="H194" s="22" t="s">
        <v>100</v>
      </c>
      <c r="I194" s="17" t="str">
        <f t="shared" si="4"/>
        <v>Cálculo</v>
      </c>
    </row>
    <row r="195" spans="1:9" x14ac:dyDescent="0.2">
      <c r="A195" s="16"/>
      <c r="B195" s="16">
        <v>2007</v>
      </c>
      <c r="C195" s="16">
        <v>1</v>
      </c>
      <c r="D195" s="16">
        <v>1</v>
      </c>
      <c r="E195" s="16">
        <v>15</v>
      </c>
      <c r="F195" s="17" t="s">
        <v>52</v>
      </c>
      <c r="G195" s="22" t="s">
        <v>98</v>
      </c>
      <c r="H195" s="22" t="s">
        <v>100</v>
      </c>
      <c r="I195" s="17" t="str">
        <f t="shared" si="4"/>
        <v>Cálculo</v>
      </c>
    </row>
    <row r="196" spans="1:9" x14ac:dyDescent="0.2">
      <c r="A196" s="16"/>
      <c r="B196" s="16">
        <v>2007</v>
      </c>
      <c r="C196" s="16">
        <v>1</v>
      </c>
      <c r="D196" s="16">
        <v>1</v>
      </c>
      <c r="E196" s="16">
        <v>16</v>
      </c>
      <c r="F196" s="17" t="s">
        <v>53</v>
      </c>
      <c r="G196" s="18" t="s">
        <v>98</v>
      </c>
      <c r="H196" s="24" t="s">
        <v>103</v>
      </c>
      <c r="I196" s="17" t="s">
        <v>7</v>
      </c>
    </row>
    <row r="197" spans="1:9" x14ac:dyDescent="0.2">
      <c r="A197" s="16"/>
      <c r="B197" s="16">
        <v>2007</v>
      </c>
      <c r="C197" s="16">
        <v>1</v>
      </c>
      <c r="D197" s="16">
        <v>1</v>
      </c>
      <c r="E197" s="16">
        <v>17</v>
      </c>
      <c r="F197" s="17" t="s">
        <v>53</v>
      </c>
      <c r="G197" s="18" t="s">
        <v>98</v>
      </c>
      <c r="H197" s="24" t="s">
        <v>103</v>
      </c>
      <c r="I197" s="17" t="s">
        <v>7</v>
      </c>
    </row>
    <row r="198" spans="1:9" x14ac:dyDescent="0.2">
      <c r="A198" s="16"/>
      <c r="B198" s="16">
        <v>2007</v>
      </c>
      <c r="C198" s="16">
        <v>1</v>
      </c>
      <c r="D198" s="16">
        <v>1</v>
      </c>
      <c r="E198" s="16">
        <v>18</v>
      </c>
      <c r="F198" s="17" t="s">
        <v>53</v>
      </c>
      <c r="G198" s="18" t="s">
        <v>98</v>
      </c>
      <c r="H198" s="24" t="s">
        <v>103</v>
      </c>
      <c r="I198" s="17" t="s">
        <v>7</v>
      </c>
    </row>
    <row r="199" spans="1:9" x14ac:dyDescent="0.2">
      <c r="A199" s="16"/>
      <c r="B199" s="16">
        <v>2007</v>
      </c>
      <c r="C199" s="16">
        <v>1</v>
      </c>
      <c r="D199" s="16">
        <v>1</v>
      </c>
      <c r="E199" s="16">
        <v>19</v>
      </c>
      <c r="F199" s="17" t="s">
        <v>53</v>
      </c>
      <c r="G199" s="18" t="s">
        <v>98</v>
      </c>
      <c r="H199" s="24" t="s">
        <v>103</v>
      </c>
      <c r="I199" s="17" t="s">
        <v>7</v>
      </c>
    </row>
    <row r="200" spans="1:9" x14ac:dyDescent="0.2">
      <c r="A200" s="16"/>
      <c r="B200" s="16">
        <v>2007</v>
      </c>
      <c r="C200" s="16">
        <v>1</v>
      </c>
      <c r="D200" s="16">
        <v>1</v>
      </c>
      <c r="E200" s="16">
        <v>20</v>
      </c>
      <c r="F200" s="17" t="s">
        <v>53</v>
      </c>
      <c r="G200" s="18" t="s">
        <v>98</v>
      </c>
      <c r="H200" s="24" t="s">
        <v>103</v>
      </c>
      <c r="I200" s="17" t="s">
        <v>7</v>
      </c>
    </row>
    <row r="201" spans="1:9" x14ac:dyDescent="0.2">
      <c r="A201" s="16"/>
      <c r="B201" s="16">
        <v>2007</v>
      </c>
      <c r="C201" s="16">
        <v>2</v>
      </c>
      <c r="D201" s="16">
        <v>1</v>
      </c>
      <c r="E201" s="16">
        <v>1</v>
      </c>
      <c r="F201" s="17" t="s">
        <v>54</v>
      </c>
      <c r="G201" s="18" t="s">
        <v>18</v>
      </c>
      <c r="H201" s="18" t="s">
        <v>102</v>
      </c>
      <c r="I201" s="17" t="str">
        <f t="shared" ref="I201:I210" si="5">RIGHT(H201,LEN(H201) - (FIND("-",H201) + 1))</f>
        <v>Linear</v>
      </c>
    </row>
    <row r="202" spans="1:9" x14ac:dyDescent="0.2">
      <c r="A202" s="16"/>
      <c r="B202" s="16">
        <v>2007</v>
      </c>
      <c r="C202" s="16">
        <v>2</v>
      </c>
      <c r="D202" s="16">
        <v>1</v>
      </c>
      <c r="E202" s="16">
        <v>2</v>
      </c>
      <c r="F202" s="17" t="s">
        <v>54</v>
      </c>
      <c r="G202" s="18" t="s">
        <v>18</v>
      </c>
      <c r="H202" s="18" t="s">
        <v>102</v>
      </c>
      <c r="I202" s="17" t="str">
        <f t="shared" si="5"/>
        <v>Linear</v>
      </c>
    </row>
    <row r="203" spans="1:9" x14ac:dyDescent="0.2">
      <c r="A203" s="16"/>
      <c r="B203" s="16">
        <v>2007</v>
      </c>
      <c r="C203" s="16">
        <v>2</v>
      </c>
      <c r="D203" s="16">
        <v>1</v>
      </c>
      <c r="E203" s="16">
        <v>3</v>
      </c>
      <c r="F203" s="17" t="s">
        <v>54</v>
      </c>
      <c r="G203" s="18" t="s">
        <v>18</v>
      </c>
      <c r="H203" s="18" t="s">
        <v>102</v>
      </c>
      <c r="I203" s="17" t="str">
        <f t="shared" si="5"/>
        <v>Linear</v>
      </c>
    </row>
    <row r="204" spans="1:9" x14ac:dyDescent="0.2">
      <c r="A204" s="16"/>
      <c r="B204" s="16">
        <v>2007</v>
      </c>
      <c r="C204" s="16">
        <v>2</v>
      </c>
      <c r="D204" s="16">
        <v>1</v>
      </c>
      <c r="E204" s="16">
        <v>4</v>
      </c>
      <c r="F204" s="17" t="s">
        <v>54</v>
      </c>
      <c r="G204" s="22" t="s">
        <v>15</v>
      </c>
      <c r="H204" s="22" t="s">
        <v>110</v>
      </c>
      <c r="I204" s="17" t="str">
        <f t="shared" si="5"/>
        <v>N Grupos</v>
      </c>
    </row>
    <row r="205" spans="1:9" x14ac:dyDescent="0.2">
      <c r="A205" s="16"/>
      <c r="B205" s="16">
        <v>2007</v>
      </c>
      <c r="C205" s="16">
        <v>2</v>
      </c>
      <c r="D205" s="16">
        <v>1</v>
      </c>
      <c r="E205" s="16">
        <v>5</v>
      </c>
      <c r="F205" s="17" t="s">
        <v>54</v>
      </c>
      <c r="G205" s="22" t="s">
        <v>15</v>
      </c>
      <c r="H205" s="22" t="s">
        <v>110</v>
      </c>
      <c r="I205" s="17" t="str">
        <f t="shared" si="5"/>
        <v>N Grupos</v>
      </c>
    </row>
    <row r="206" spans="1:9" x14ac:dyDescent="0.2">
      <c r="A206" s="16"/>
      <c r="B206" s="16">
        <v>2007</v>
      </c>
      <c r="C206" s="16">
        <v>2</v>
      </c>
      <c r="D206" s="16">
        <v>1</v>
      </c>
      <c r="E206" s="16">
        <v>6</v>
      </c>
      <c r="F206" s="17" t="s">
        <v>55</v>
      </c>
      <c r="G206" s="18" t="s">
        <v>15</v>
      </c>
      <c r="H206" s="18" t="s">
        <v>108</v>
      </c>
      <c r="I206" s="17" t="str">
        <f t="shared" si="5"/>
        <v>1 Grupo</v>
      </c>
    </row>
    <row r="207" spans="1:9" x14ac:dyDescent="0.2">
      <c r="A207" s="16"/>
      <c r="B207" s="16">
        <v>2007</v>
      </c>
      <c r="C207" s="16">
        <v>2</v>
      </c>
      <c r="D207" s="16">
        <v>1</v>
      </c>
      <c r="E207" s="16">
        <v>7</v>
      </c>
      <c r="F207" s="17" t="s">
        <v>55</v>
      </c>
      <c r="G207" s="18" t="s">
        <v>15</v>
      </c>
      <c r="H207" s="18" t="s">
        <v>108</v>
      </c>
      <c r="I207" s="17" t="str">
        <f t="shared" si="5"/>
        <v>1 Grupo</v>
      </c>
    </row>
    <row r="208" spans="1:9" x14ac:dyDescent="0.2">
      <c r="A208" s="16"/>
      <c r="B208" s="16">
        <v>2007</v>
      </c>
      <c r="C208" s="16">
        <v>2</v>
      </c>
      <c r="D208" s="16">
        <v>1</v>
      </c>
      <c r="E208" s="16">
        <v>8</v>
      </c>
      <c r="F208" s="17" t="s">
        <v>55</v>
      </c>
      <c r="G208" s="18" t="s">
        <v>15</v>
      </c>
      <c r="H208" s="18" t="s">
        <v>108</v>
      </c>
      <c r="I208" s="17" t="str">
        <f t="shared" si="5"/>
        <v>1 Grupo</v>
      </c>
    </row>
    <row r="209" spans="1:9" x14ac:dyDescent="0.2">
      <c r="A209" s="16"/>
      <c r="B209" s="16">
        <v>2007</v>
      </c>
      <c r="C209" s="16">
        <v>2</v>
      </c>
      <c r="D209" s="16">
        <v>1</v>
      </c>
      <c r="E209" s="16">
        <v>9</v>
      </c>
      <c r="F209" s="17" t="s">
        <v>55</v>
      </c>
      <c r="G209" s="22" t="s">
        <v>98</v>
      </c>
      <c r="H209" s="22" t="s">
        <v>100</v>
      </c>
      <c r="I209" s="17" t="str">
        <f t="shared" si="5"/>
        <v>Cálculo</v>
      </c>
    </row>
    <row r="210" spans="1:9" x14ac:dyDescent="0.2">
      <c r="A210" s="16"/>
      <c r="B210" s="16">
        <v>2007</v>
      </c>
      <c r="C210" s="16">
        <v>2</v>
      </c>
      <c r="D210" s="16">
        <v>1</v>
      </c>
      <c r="E210" s="16">
        <v>10</v>
      </c>
      <c r="F210" s="17" t="s">
        <v>55</v>
      </c>
      <c r="G210" s="22" t="s">
        <v>98</v>
      </c>
      <c r="H210" s="22" t="s">
        <v>100</v>
      </c>
      <c r="I210" s="17" t="str">
        <f t="shared" si="5"/>
        <v>Cálculo</v>
      </c>
    </row>
    <row r="211" spans="1:9" x14ac:dyDescent="0.2">
      <c r="A211" s="16"/>
      <c r="B211" s="16">
        <v>2007</v>
      </c>
      <c r="C211" s="16">
        <v>2</v>
      </c>
      <c r="D211" s="16">
        <v>1</v>
      </c>
      <c r="E211" s="16">
        <v>11</v>
      </c>
      <c r="F211" s="17" t="s">
        <v>56</v>
      </c>
      <c r="G211" s="18" t="s">
        <v>98</v>
      </c>
      <c r="H211" s="23" t="s">
        <v>103</v>
      </c>
      <c r="I211" s="17" t="s">
        <v>7</v>
      </c>
    </row>
    <row r="212" spans="1:9" x14ac:dyDescent="0.2">
      <c r="A212" s="16"/>
      <c r="B212" s="16">
        <v>2007</v>
      </c>
      <c r="C212" s="16">
        <v>2</v>
      </c>
      <c r="D212" s="16">
        <v>1</v>
      </c>
      <c r="E212" s="16">
        <v>12</v>
      </c>
      <c r="F212" s="17" t="s">
        <v>56</v>
      </c>
      <c r="G212" s="23" t="s">
        <v>98</v>
      </c>
      <c r="H212" s="23" t="s">
        <v>100</v>
      </c>
      <c r="I212" s="17" t="str">
        <f t="shared" ref="I212:I215" si="6">RIGHT(H212,LEN(H212) - (FIND("-",H212) + 1))</f>
        <v>Cálculo</v>
      </c>
    </row>
    <row r="213" spans="1:9" x14ac:dyDescent="0.2">
      <c r="A213" s="16"/>
      <c r="B213" s="16">
        <v>2007</v>
      </c>
      <c r="C213" s="16">
        <v>2</v>
      </c>
      <c r="D213" s="16">
        <v>1</v>
      </c>
      <c r="E213" s="16">
        <v>13</v>
      </c>
      <c r="F213" s="17" t="s">
        <v>56</v>
      </c>
      <c r="G213" s="23" t="s">
        <v>98</v>
      </c>
      <c r="H213" s="23" t="s">
        <v>100</v>
      </c>
      <c r="I213" s="17" t="str">
        <f t="shared" si="6"/>
        <v>Cálculo</v>
      </c>
    </row>
    <row r="214" spans="1:9" x14ac:dyDescent="0.2">
      <c r="A214" s="16"/>
      <c r="B214" s="16">
        <v>2007</v>
      </c>
      <c r="C214" s="16">
        <v>2</v>
      </c>
      <c r="D214" s="16">
        <v>1</v>
      </c>
      <c r="E214" s="16">
        <v>14</v>
      </c>
      <c r="F214" s="17" t="s">
        <v>56</v>
      </c>
      <c r="G214" s="23" t="s">
        <v>98</v>
      </c>
      <c r="H214" s="23" t="s">
        <v>100</v>
      </c>
      <c r="I214" s="17" t="str">
        <f t="shared" si="6"/>
        <v>Cálculo</v>
      </c>
    </row>
    <row r="215" spans="1:9" x14ac:dyDescent="0.2">
      <c r="A215" s="16"/>
      <c r="B215" s="16">
        <v>2007</v>
      </c>
      <c r="C215" s="16">
        <v>2</v>
      </c>
      <c r="D215" s="16">
        <v>1</v>
      </c>
      <c r="E215" s="16">
        <v>15</v>
      </c>
      <c r="F215" s="17" t="s">
        <v>56</v>
      </c>
      <c r="G215" s="23" t="s">
        <v>98</v>
      </c>
      <c r="H215" s="23" t="s">
        <v>100</v>
      </c>
      <c r="I215" s="17" t="str">
        <f t="shared" si="6"/>
        <v>Cálculo</v>
      </c>
    </row>
    <row r="216" spans="1:9" x14ac:dyDescent="0.2">
      <c r="A216" s="16"/>
      <c r="B216" s="16">
        <v>2007</v>
      </c>
      <c r="C216" s="16">
        <v>2</v>
      </c>
      <c r="D216" s="16">
        <v>1</v>
      </c>
      <c r="E216" s="16">
        <v>16</v>
      </c>
      <c r="F216" s="17" t="s">
        <v>53</v>
      </c>
      <c r="G216" s="18" t="s">
        <v>98</v>
      </c>
      <c r="H216" s="24" t="s">
        <v>103</v>
      </c>
      <c r="I216" s="17" t="s">
        <v>7</v>
      </c>
    </row>
    <row r="217" spans="1:9" x14ac:dyDescent="0.2">
      <c r="A217" s="16"/>
      <c r="B217" s="16">
        <v>2007</v>
      </c>
      <c r="C217" s="16">
        <v>2</v>
      </c>
      <c r="D217" s="16">
        <v>1</v>
      </c>
      <c r="E217" s="16">
        <v>17</v>
      </c>
      <c r="F217" s="17" t="s">
        <v>53</v>
      </c>
      <c r="G217" s="18" t="s">
        <v>98</v>
      </c>
      <c r="H217" s="24" t="s">
        <v>103</v>
      </c>
      <c r="I217" s="17" t="s">
        <v>7</v>
      </c>
    </row>
    <row r="218" spans="1:9" x14ac:dyDescent="0.2">
      <c r="A218" s="16"/>
      <c r="B218" s="16">
        <v>2007</v>
      </c>
      <c r="C218" s="16">
        <v>2</v>
      </c>
      <c r="D218" s="16">
        <v>1</v>
      </c>
      <c r="E218" s="16">
        <v>18</v>
      </c>
      <c r="F218" s="17" t="s">
        <v>53</v>
      </c>
      <c r="G218" s="18" t="s">
        <v>98</v>
      </c>
      <c r="H218" s="24" t="s">
        <v>103</v>
      </c>
      <c r="I218" s="17" t="s">
        <v>7</v>
      </c>
    </row>
    <row r="219" spans="1:9" x14ac:dyDescent="0.2">
      <c r="A219" s="16"/>
      <c r="B219" s="16">
        <v>2007</v>
      </c>
      <c r="C219" s="16">
        <v>2</v>
      </c>
      <c r="D219" s="16">
        <v>1</v>
      </c>
      <c r="E219" s="16">
        <v>19</v>
      </c>
      <c r="F219" s="17" t="s">
        <v>53</v>
      </c>
      <c r="G219" s="18" t="s">
        <v>98</v>
      </c>
      <c r="H219" s="24" t="s">
        <v>103</v>
      </c>
      <c r="I219" s="17" t="s">
        <v>7</v>
      </c>
    </row>
    <row r="220" spans="1:9" x14ac:dyDescent="0.2">
      <c r="A220" s="16"/>
      <c r="B220" s="16">
        <v>2007</v>
      </c>
      <c r="C220" s="16">
        <v>2</v>
      </c>
      <c r="D220" s="16">
        <v>1</v>
      </c>
      <c r="E220" s="16">
        <v>20</v>
      </c>
      <c r="F220" s="17" t="s">
        <v>53</v>
      </c>
      <c r="G220" s="18" t="s">
        <v>98</v>
      </c>
      <c r="H220" s="24" t="s">
        <v>103</v>
      </c>
      <c r="I220" s="17" t="s">
        <v>7</v>
      </c>
    </row>
    <row r="221" spans="1:9" x14ac:dyDescent="0.2">
      <c r="A221" s="16"/>
      <c r="B221" s="16">
        <v>2007</v>
      </c>
      <c r="C221" s="16">
        <v>1</v>
      </c>
      <c r="D221" s="16">
        <v>2</v>
      </c>
      <c r="E221" s="16">
        <v>1</v>
      </c>
      <c r="F221" s="17" t="s">
        <v>57</v>
      </c>
      <c r="G221" s="18" t="s">
        <v>98</v>
      </c>
      <c r="H221" s="18" t="s">
        <v>99</v>
      </c>
      <c r="I221" s="17" t="str">
        <f t="shared" ref="I221:I230" si="7">RIGHT(H221,LEN(H221) - (FIND("-",H221) + 1))</f>
        <v>Definição</v>
      </c>
    </row>
    <row r="222" spans="1:9" x14ac:dyDescent="0.2">
      <c r="A222" s="16"/>
      <c r="B222" s="16">
        <v>2007</v>
      </c>
      <c r="C222" s="16">
        <v>1</v>
      </c>
      <c r="D222" s="16">
        <v>2</v>
      </c>
      <c r="E222" s="16">
        <v>2</v>
      </c>
      <c r="F222" s="17" t="s">
        <v>57</v>
      </c>
      <c r="G222" s="23" t="s">
        <v>98</v>
      </c>
      <c r="H222" s="23" t="s">
        <v>100</v>
      </c>
      <c r="I222" s="17" t="str">
        <f t="shared" si="7"/>
        <v>Cálculo</v>
      </c>
    </row>
    <row r="223" spans="1:9" x14ac:dyDescent="0.2">
      <c r="A223" s="16"/>
      <c r="B223" s="16">
        <v>2007</v>
      </c>
      <c r="C223" s="16">
        <v>1</v>
      </c>
      <c r="D223" s="16">
        <v>2</v>
      </c>
      <c r="E223" s="16">
        <v>3</v>
      </c>
      <c r="F223" s="17" t="s">
        <v>57</v>
      </c>
      <c r="G223" s="22" t="s">
        <v>18</v>
      </c>
      <c r="H223" s="22" t="s">
        <v>102</v>
      </c>
      <c r="I223" s="17" t="str">
        <f t="shared" si="7"/>
        <v>Linear</v>
      </c>
    </row>
    <row r="224" spans="1:9" x14ac:dyDescent="0.2">
      <c r="A224" s="16"/>
      <c r="B224" s="16">
        <v>2007</v>
      </c>
      <c r="C224" s="16">
        <v>1</v>
      </c>
      <c r="D224" s="16">
        <v>2</v>
      </c>
      <c r="E224" s="16">
        <v>4</v>
      </c>
      <c r="F224" s="17" t="s">
        <v>57</v>
      </c>
      <c r="G224" s="22" t="s">
        <v>18</v>
      </c>
      <c r="H224" s="22" t="s">
        <v>106</v>
      </c>
      <c r="I224" s="17" t="str">
        <f t="shared" si="7"/>
        <v>Livre</v>
      </c>
    </row>
    <row r="225" spans="1:9" x14ac:dyDescent="0.2">
      <c r="A225" s="16"/>
      <c r="B225" s="16">
        <v>2007</v>
      </c>
      <c r="C225" s="16">
        <v>1</v>
      </c>
      <c r="D225" s="16">
        <v>2</v>
      </c>
      <c r="E225" s="16">
        <v>5</v>
      </c>
      <c r="F225" s="17" t="s">
        <v>57</v>
      </c>
      <c r="G225" s="22" t="s">
        <v>18</v>
      </c>
      <c r="H225" s="22" t="s">
        <v>106</v>
      </c>
      <c r="I225" s="17" t="str">
        <f t="shared" si="7"/>
        <v>Livre</v>
      </c>
    </row>
    <row r="226" spans="1:9" x14ac:dyDescent="0.2">
      <c r="A226" s="16"/>
      <c r="B226" s="16">
        <v>2007</v>
      </c>
      <c r="C226" s="16">
        <v>1</v>
      </c>
      <c r="D226" s="16">
        <v>2</v>
      </c>
      <c r="E226" s="16">
        <v>6</v>
      </c>
      <c r="F226" s="17" t="s">
        <v>58</v>
      </c>
      <c r="G226" s="18" t="s">
        <v>15</v>
      </c>
      <c r="H226" s="18" t="s">
        <v>108</v>
      </c>
      <c r="I226" s="17" t="str">
        <f t="shared" si="7"/>
        <v>1 Grupo</v>
      </c>
    </row>
    <row r="227" spans="1:9" x14ac:dyDescent="0.2">
      <c r="A227" s="16"/>
      <c r="B227" s="16">
        <v>2007</v>
      </c>
      <c r="C227" s="16">
        <v>1</v>
      </c>
      <c r="D227" s="16">
        <v>2</v>
      </c>
      <c r="E227" s="16">
        <v>7</v>
      </c>
      <c r="F227" s="17" t="s">
        <v>58</v>
      </c>
      <c r="G227" s="18" t="s">
        <v>15</v>
      </c>
      <c r="H227" s="18" t="s">
        <v>108</v>
      </c>
      <c r="I227" s="17" t="str">
        <f t="shared" si="7"/>
        <v>1 Grupo</v>
      </c>
    </row>
    <row r="228" spans="1:9" x14ac:dyDescent="0.2">
      <c r="A228" s="16"/>
      <c r="B228" s="16">
        <v>2007</v>
      </c>
      <c r="C228" s="16">
        <v>1</v>
      </c>
      <c r="D228" s="16">
        <v>2</v>
      </c>
      <c r="E228" s="16">
        <v>8</v>
      </c>
      <c r="F228" s="17" t="s">
        <v>58</v>
      </c>
      <c r="G228" s="18" t="s">
        <v>15</v>
      </c>
      <c r="H228" s="18" t="s">
        <v>108</v>
      </c>
      <c r="I228" s="17" t="str">
        <f t="shared" si="7"/>
        <v>1 Grupo</v>
      </c>
    </row>
    <row r="229" spans="1:9" x14ac:dyDescent="0.2">
      <c r="A229" s="16"/>
      <c r="B229" s="16">
        <v>2007</v>
      </c>
      <c r="C229" s="16">
        <v>1</v>
      </c>
      <c r="D229" s="16">
        <v>2</v>
      </c>
      <c r="E229" s="16">
        <v>9</v>
      </c>
      <c r="F229" s="17" t="s">
        <v>58</v>
      </c>
      <c r="G229" s="18" t="s">
        <v>15</v>
      </c>
      <c r="H229" s="18" t="s">
        <v>108</v>
      </c>
      <c r="I229" s="17" t="str">
        <f t="shared" si="7"/>
        <v>1 Grupo</v>
      </c>
    </row>
    <row r="230" spans="1:9" x14ac:dyDescent="0.2">
      <c r="A230" s="16"/>
      <c r="B230" s="16">
        <v>2007</v>
      </c>
      <c r="C230" s="16">
        <v>1</v>
      </c>
      <c r="D230" s="16">
        <v>2</v>
      </c>
      <c r="E230" s="16">
        <v>10</v>
      </c>
      <c r="F230" s="17" t="s">
        <v>58</v>
      </c>
      <c r="G230" s="18" t="s">
        <v>15</v>
      </c>
      <c r="H230" s="18" t="s">
        <v>108</v>
      </c>
      <c r="I230" s="17" t="str">
        <f t="shared" si="7"/>
        <v>1 Grupo</v>
      </c>
    </row>
    <row r="231" spans="1:9" x14ac:dyDescent="0.2">
      <c r="A231" s="16"/>
      <c r="B231" s="16">
        <v>2007</v>
      </c>
      <c r="C231" s="16">
        <v>1</v>
      </c>
      <c r="D231" s="16">
        <v>2</v>
      </c>
      <c r="E231" s="16">
        <v>11</v>
      </c>
      <c r="F231" s="17" t="s">
        <v>59</v>
      </c>
      <c r="G231" s="18" t="s">
        <v>98</v>
      </c>
      <c r="H231" s="24" t="s">
        <v>103</v>
      </c>
      <c r="I231" s="17" t="s">
        <v>7</v>
      </c>
    </row>
    <row r="232" spans="1:9" x14ac:dyDescent="0.2">
      <c r="A232" s="16"/>
      <c r="B232" s="16">
        <v>2007</v>
      </c>
      <c r="C232" s="16">
        <v>1</v>
      </c>
      <c r="D232" s="16">
        <v>2</v>
      </c>
      <c r="E232" s="16">
        <v>12</v>
      </c>
      <c r="F232" s="17" t="s">
        <v>59</v>
      </c>
      <c r="G232" s="18" t="s">
        <v>98</v>
      </c>
      <c r="H232" s="24" t="s">
        <v>103</v>
      </c>
      <c r="I232" s="17" t="s">
        <v>7</v>
      </c>
    </row>
    <row r="233" spans="1:9" x14ac:dyDescent="0.2">
      <c r="A233" s="16"/>
      <c r="B233" s="16">
        <v>2007</v>
      </c>
      <c r="C233" s="16">
        <v>1</v>
      </c>
      <c r="D233" s="16">
        <v>2</v>
      </c>
      <c r="E233" s="16">
        <v>13</v>
      </c>
      <c r="F233" s="17" t="s">
        <v>59</v>
      </c>
      <c r="G233" s="18" t="s">
        <v>98</v>
      </c>
      <c r="H233" s="24" t="s">
        <v>103</v>
      </c>
      <c r="I233" s="17" t="s">
        <v>7</v>
      </c>
    </row>
    <row r="234" spans="1:9" x14ac:dyDescent="0.2">
      <c r="A234" s="16"/>
      <c r="B234" s="16">
        <v>2007</v>
      </c>
      <c r="C234" s="16">
        <v>1</v>
      </c>
      <c r="D234" s="16">
        <v>2</v>
      </c>
      <c r="E234" s="16">
        <v>14</v>
      </c>
      <c r="F234" s="17" t="s">
        <v>59</v>
      </c>
      <c r="G234" s="18" t="s">
        <v>98</v>
      </c>
      <c r="H234" s="24" t="s">
        <v>103</v>
      </c>
      <c r="I234" s="17" t="s">
        <v>7</v>
      </c>
    </row>
    <row r="235" spans="1:9" x14ac:dyDescent="0.2">
      <c r="A235" s="16"/>
      <c r="B235" s="16">
        <v>2007</v>
      </c>
      <c r="C235" s="16">
        <v>1</v>
      </c>
      <c r="D235" s="16">
        <v>2</v>
      </c>
      <c r="E235" s="16">
        <v>15</v>
      </c>
      <c r="F235" s="17" t="s">
        <v>59</v>
      </c>
      <c r="G235" s="18" t="s">
        <v>98</v>
      </c>
      <c r="H235" s="24" t="s">
        <v>103</v>
      </c>
      <c r="I235" s="17" t="s">
        <v>7</v>
      </c>
    </row>
    <row r="236" spans="1:9" x14ac:dyDescent="0.2">
      <c r="A236" s="16"/>
      <c r="B236" s="16">
        <v>2007</v>
      </c>
      <c r="C236" s="16">
        <v>1</v>
      </c>
      <c r="D236" s="16">
        <v>2</v>
      </c>
      <c r="E236" s="16">
        <v>16</v>
      </c>
      <c r="F236" s="17" t="s">
        <v>60</v>
      </c>
      <c r="G236" s="23" t="s">
        <v>15</v>
      </c>
      <c r="H236" s="23" t="s">
        <v>108</v>
      </c>
      <c r="I236" s="17" t="str">
        <f t="shared" ref="I236:I280" si="8">RIGHT(H236,LEN(H236) - (FIND("-",H236) + 1))</f>
        <v>1 Grupo</v>
      </c>
    </row>
    <row r="237" spans="1:9" x14ac:dyDescent="0.2">
      <c r="A237" s="16"/>
      <c r="B237" s="16">
        <v>2007</v>
      </c>
      <c r="C237" s="16">
        <v>1</v>
      </c>
      <c r="D237" s="16">
        <v>2</v>
      </c>
      <c r="E237" s="16">
        <v>17</v>
      </c>
      <c r="F237" s="17" t="s">
        <v>60</v>
      </c>
      <c r="G237" s="23" t="s">
        <v>15</v>
      </c>
      <c r="H237" s="23" t="s">
        <v>108</v>
      </c>
      <c r="I237" s="17" t="str">
        <f t="shared" si="8"/>
        <v>1 Grupo</v>
      </c>
    </row>
    <row r="238" spans="1:9" x14ac:dyDescent="0.2">
      <c r="A238" s="16"/>
      <c r="B238" s="16">
        <v>2007</v>
      </c>
      <c r="C238" s="16">
        <v>1</v>
      </c>
      <c r="D238" s="16">
        <v>2</v>
      </c>
      <c r="E238" s="16">
        <v>18</v>
      </c>
      <c r="F238" s="17" t="s">
        <v>60</v>
      </c>
      <c r="G238" s="23" t="s">
        <v>15</v>
      </c>
      <c r="H238" s="23" t="s">
        <v>108</v>
      </c>
      <c r="I238" s="17" t="str">
        <f t="shared" si="8"/>
        <v>1 Grupo</v>
      </c>
    </row>
    <row r="239" spans="1:9" x14ac:dyDescent="0.2">
      <c r="A239" s="16"/>
      <c r="B239" s="16">
        <v>2007</v>
      </c>
      <c r="C239" s="16">
        <v>1</v>
      </c>
      <c r="D239" s="16">
        <v>2</v>
      </c>
      <c r="E239" s="16">
        <v>19</v>
      </c>
      <c r="F239" s="17" t="s">
        <v>60</v>
      </c>
      <c r="G239" s="23" t="s">
        <v>15</v>
      </c>
      <c r="H239" s="23" t="s">
        <v>108</v>
      </c>
      <c r="I239" s="17" t="str">
        <f t="shared" si="8"/>
        <v>1 Grupo</v>
      </c>
    </row>
    <row r="240" spans="1:9" x14ac:dyDescent="0.2">
      <c r="A240" s="16"/>
      <c r="B240" s="16">
        <v>2007</v>
      </c>
      <c r="C240" s="16">
        <v>1</v>
      </c>
      <c r="D240" s="16">
        <v>2</v>
      </c>
      <c r="E240" s="16">
        <v>20</v>
      </c>
      <c r="F240" s="17" t="s">
        <v>60</v>
      </c>
      <c r="G240" s="23" t="s">
        <v>15</v>
      </c>
      <c r="H240" s="23" t="s">
        <v>108</v>
      </c>
      <c r="I240" s="17" t="str">
        <f t="shared" si="8"/>
        <v>1 Grupo</v>
      </c>
    </row>
    <row r="241" spans="1:9" x14ac:dyDescent="0.2">
      <c r="A241" s="16"/>
      <c r="B241" s="16">
        <v>2007</v>
      </c>
      <c r="C241" s="16">
        <v>1</v>
      </c>
      <c r="D241" s="16">
        <v>2</v>
      </c>
      <c r="E241" s="16">
        <v>21</v>
      </c>
      <c r="F241" s="17" t="s">
        <v>61</v>
      </c>
      <c r="G241" s="18" t="s">
        <v>18</v>
      </c>
      <c r="H241" s="18" t="s">
        <v>102</v>
      </c>
      <c r="I241" s="17" t="str">
        <f t="shared" si="8"/>
        <v>Linear</v>
      </c>
    </row>
    <row r="242" spans="1:9" x14ac:dyDescent="0.2">
      <c r="A242" s="16"/>
      <c r="B242" s="16">
        <v>2007</v>
      </c>
      <c r="C242" s="16">
        <v>1</v>
      </c>
      <c r="D242" s="16">
        <v>2</v>
      </c>
      <c r="E242" s="16">
        <v>22</v>
      </c>
      <c r="F242" s="17" t="s">
        <v>61</v>
      </c>
      <c r="G242" s="18" t="s">
        <v>18</v>
      </c>
      <c r="H242" s="18" t="s">
        <v>102</v>
      </c>
      <c r="I242" s="17" t="str">
        <f t="shared" si="8"/>
        <v>Linear</v>
      </c>
    </row>
    <row r="243" spans="1:9" x14ac:dyDescent="0.2">
      <c r="A243" s="16"/>
      <c r="B243" s="16">
        <v>2007</v>
      </c>
      <c r="C243" s="16">
        <v>1</v>
      </c>
      <c r="D243" s="16">
        <v>2</v>
      </c>
      <c r="E243" s="16">
        <v>23</v>
      </c>
      <c r="F243" s="17" t="s">
        <v>61</v>
      </c>
      <c r="G243" s="18" t="s">
        <v>18</v>
      </c>
      <c r="H243" s="18" t="s">
        <v>102</v>
      </c>
      <c r="I243" s="17" t="str">
        <f t="shared" si="8"/>
        <v>Linear</v>
      </c>
    </row>
    <row r="244" spans="1:9" x14ac:dyDescent="0.2">
      <c r="A244" s="16"/>
      <c r="B244" s="16">
        <v>2007</v>
      </c>
      <c r="C244" s="16">
        <v>1</v>
      </c>
      <c r="D244" s="16">
        <v>2</v>
      </c>
      <c r="E244" s="16">
        <v>24</v>
      </c>
      <c r="F244" s="17" t="s">
        <v>61</v>
      </c>
      <c r="G244" s="18" t="s">
        <v>18</v>
      </c>
      <c r="H244" s="18" t="s">
        <v>102</v>
      </c>
      <c r="I244" s="17" t="str">
        <f t="shared" si="8"/>
        <v>Linear</v>
      </c>
    </row>
    <row r="245" spans="1:9" x14ac:dyDescent="0.2">
      <c r="A245" s="16"/>
      <c r="B245" s="16">
        <v>2007</v>
      </c>
      <c r="C245" s="16">
        <v>1</v>
      </c>
      <c r="D245" s="16">
        <v>2</v>
      </c>
      <c r="E245" s="16">
        <v>25</v>
      </c>
      <c r="F245" s="17" t="s">
        <v>61</v>
      </c>
      <c r="G245" s="18" t="s">
        <v>18</v>
      </c>
      <c r="H245" s="18" t="s">
        <v>102</v>
      </c>
      <c r="I245" s="17" t="str">
        <f t="shared" si="8"/>
        <v>Linear</v>
      </c>
    </row>
    <row r="246" spans="1:9" x14ac:dyDescent="0.2">
      <c r="A246" s="16"/>
      <c r="B246" s="16">
        <v>2007</v>
      </c>
      <c r="C246" s="16">
        <v>2</v>
      </c>
      <c r="D246" s="16">
        <v>2</v>
      </c>
      <c r="E246" s="16">
        <v>1</v>
      </c>
      <c r="F246" s="17" t="s">
        <v>57</v>
      </c>
      <c r="G246" s="18" t="s">
        <v>98</v>
      </c>
      <c r="H246" s="18" t="s">
        <v>99</v>
      </c>
      <c r="I246" s="17" t="str">
        <f t="shared" si="8"/>
        <v>Definição</v>
      </c>
    </row>
    <row r="247" spans="1:9" x14ac:dyDescent="0.2">
      <c r="A247" s="16"/>
      <c r="B247" s="16">
        <v>2007</v>
      </c>
      <c r="C247" s="16">
        <v>2</v>
      </c>
      <c r="D247" s="16">
        <v>2</v>
      </c>
      <c r="E247" s="16">
        <v>2</v>
      </c>
      <c r="F247" s="17" t="s">
        <v>57</v>
      </c>
      <c r="G247" s="23" t="s">
        <v>98</v>
      </c>
      <c r="H247" s="23" t="s">
        <v>100</v>
      </c>
      <c r="I247" s="17" t="str">
        <f t="shared" si="8"/>
        <v>Cálculo</v>
      </c>
    </row>
    <row r="248" spans="1:9" x14ac:dyDescent="0.2">
      <c r="A248" s="16"/>
      <c r="B248" s="16">
        <v>2007</v>
      </c>
      <c r="C248" s="16">
        <v>2</v>
      </c>
      <c r="D248" s="16">
        <v>2</v>
      </c>
      <c r="E248" s="16">
        <v>3</v>
      </c>
      <c r="F248" s="17" t="s">
        <v>57</v>
      </c>
      <c r="G248" s="22" t="s">
        <v>18</v>
      </c>
      <c r="H248" s="22" t="s">
        <v>106</v>
      </c>
      <c r="I248" s="17" t="str">
        <f t="shared" si="8"/>
        <v>Livre</v>
      </c>
    </row>
    <row r="249" spans="1:9" x14ac:dyDescent="0.2">
      <c r="A249" s="16"/>
      <c r="B249" s="16">
        <v>2007</v>
      </c>
      <c r="C249" s="16">
        <v>2</v>
      </c>
      <c r="D249" s="16">
        <v>2</v>
      </c>
      <c r="E249" s="16">
        <v>4</v>
      </c>
      <c r="F249" s="17" t="s">
        <v>57</v>
      </c>
      <c r="G249" s="22" t="s">
        <v>18</v>
      </c>
      <c r="H249" s="22" t="s">
        <v>106</v>
      </c>
      <c r="I249" s="17" t="str">
        <f t="shared" si="8"/>
        <v>Livre</v>
      </c>
    </row>
    <row r="250" spans="1:9" x14ac:dyDescent="0.2">
      <c r="A250" s="16"/>
      <c r="B250" s="16">
        <v>2007</v>
      </c>
      <c r="C250" s="16">
        <v>2</v>
      </c>
      <c r="D250" s="16">
        <v>2</v>
      </c>
      <c r="E250" s="16">
        <v>5</v>
      </c>
      <c r="F250" s="17" t="s">
        <v>57</v>
      </c>
      <c r="G250" s="22" t="s">
        <v>18</v>
      </c>
      <c r="H250" s="22" t="s">
        <v>106</v>
      </c>
      <c r="I250" s="17" t="str">
        <f t="shared" si="8"/>
        <v>Livre</v>
      </c>
    </row>
    <row r="251" spans="1:9" x14ac:dyDescent="0.2">
      <c r="A251" s="16"/>
      <c r="B251" s="16">
        <v>2007</v>
      </c>
      <c r="C251" s="16">
        <v>2</v>
      </c>
      <c r="D251" s="16">
        <v>2</v>
      </c>
      <c r="E251" s="16">
        <v>6</v>
      </c>
      <c r="F251" s="17" t="s">
        <v>62</v>
      </c>
      <c r="G251" s="18" t="s">
        <v>18</v>
      </c>
      <c r="H251" s="18" t="s">
        <v>102</v>
      </c>
      <c r="I251" s="17" t="str">
        <f t="shared" si="8"/>
        <v>Linear</v>
      </c>
    </row>
    <row r="252" spans="1:9" x14ac:dyDescent="0.2">
      <c r="A252" s="16"/>
      <c r="B252" s="16">
        <v>2007</v>
      </c>
      <c r="C252" s="16">
        <v>2</v>
      </c>
      <c r="D252" s="16">
        <v>2</v>
      </c>
      <c r="E252" s="16">
        <v>7</v>
      </c>
      <c r="F252" s="17" t="s">
        <v>62</v>
      </c>
      <c r="G252" s="18" t="s">
        <v>18</v>
      </c>
      <c r="H252" s="18" t="s">
        <v>102</v>
      </c>
      <c r="I252" s="17" t="str">
        <f t="shared" si="8"/>
        <v>Linear</v>
      </c>
    </row>
    <row r="253" spans="1:9" x14ac:dyDescent="0.2">
      <c r="A253" s="16"/>
      <c r="B253" s="16">
        <v>2007</v>
      </c>
      <c r="C253" s="16">
        <v>2</v>
      </c>
      <c r="D253" s="16">
        <v>2</v>
      </c>
      <c r="E253" s="16">
        <v>8</v>
      </c>
      <c r="F253" s="17" t="s">
        <v>62</v>
      </c>
      <c r="G253" s="18" t="s">
        <v>18</v>
      </c>
      <c r="H253" s="18" t="s">
        <v>102</v>
      </c>
      <c r="I253" s="17" t="str">
        <f t="shared" si="8"/>
        <v>Linear</v>
      </c>
    </row>
    <row r="254" spans="1:9" x14ac:dyDescent="0.2">
      <c r="A254" s="16"/>
      <c r="B254" s="16">
        <v>2007</v>
      </c>
      <c r="C254" s="16">
        <v>2</v>
      </c>
      <c r="D254" s="16">
        <v>2</v>
      </c>
      <c r="E254" s="16">
        <v>9</v>
      </c>
      <c r="F254" s="17" t="s">
        <v>62</v>
      </c>
      <c r="G254" s="18" t="s">
        <v>18</v>
      </c>
      <c r="H254" s="18" t="s">
        <v>102</v>
      </c>
      <c r="I254" s="17" t="str">
        <f t="shared" si="8"/>
        <v>Linear</v>
      </c>
    </row>
    <row r="255" spans="1:9" x14ac:dyDescent="0.2">
      <c r="A255" s="16"/>
      <c r="B255" s="16">
        <v>2007</v>
      </c>
      <c r="C255" s="16">
        <v>2</v>
      </c>
      <c r="D255" s="16">
        <v>2</v>
      </c>
      <c r="E255" s="16">
        <v>10</v>
      </c>
      <c r="F255" s="17" t="s">
        <v>62</v>
      </c>
      <c r="G255" s="18" t="s">
        <v>18</v>
      </c>
      <c r="H255" s="18" t="s">
        <v>102</v>
      </c>
      <c r="I255" s="17" t="str">
        <f t="shared" si="8"/>
        <v>Linear</v>
      </c>
    </row>
    <row r="256" spans="1:9" x14ac:dyDescent="0.2">
      <c r="A256" s="16"/>
      <c r="B256" s="16">
        <v>2007</v>
      </c>
      <c r="C256" s="16">
        <v>2</v>
      </c>
      <c r="D256" s="16">
        <v>2</v>
      </c>
      <c r="E256" s="16">
        <v>11</v>
      </c>
      <c r="F256" s="17" t="s">
        <v>63</v>
      </c>
      <c r="G256" s="23" t="s">
        <v>18</v>
      </c>
      <c r="H256" s="23" t="s">
        <v>102</v>
      </c>
      <c r="I256" s="17" t="str">
        <f t="shared" si="8"/>
        <v>Linear</v>
      </c>
    </row>
    <row r="257" spans="1:9" x14ac:dyDescent="0.2">
      <c r="A257" s="16"/>
      <c r="B257" s="16">
        <v>2007</v>
      </c>
      <c r="C257" s="16">
        <v>2</v>
      </c>
      <c r="D257" s="16">
        <v>2</v>
      </c>
      <c r="E257" s="16">
        <v>12</v>
      </c>
      <c r="F257" s="17" t="s">
        <v>63</v>
      </c>
      <c r="G257" s="23" t="s">
        <v>18</v>
      </c>
      <c r="H257" s="23" t="s">
        <v>102</v>
      </c>
      <c r="I257" s="17" t="str">
        <f t="shared" si="8"/>
        <v>Linear</v>
      </c>
    </row>
    <row r="258" spans="1:9" x14ac:dyDescent="0.2">
      <c r="A258" s="16"/>
      <c r="B258" s="16">
        <v>2007</v>
      </c>
      <c r="C258" s="16">
        <v>2</v>
      </c>
      <c r="D258" s="16">
        <v>2</v>
      </c>
      <c r="E258" s="16">
        <v>13</v>
      </c>
      <c r="F258" s="17" t="s">
        <v>63</v>
      </c>
      <c r="G258" s="23" t="s">
        <v>18</v>
      </c>
      <c r="H258" s="23" t="s">
        <v>102</v>
      </c>
      <c r="I258" s="17" t="str">
        <f t="shared" si="8"/>
        <v>Linear</v>
      </c>
    </row>
    <row r="259" spans="1:9" x14ac:dyDescent="0.2">
      <c r="A259" s="16"/>
      <c r="B259" s="16">
        <v>2007</v>
      </c>
      <c r="C259" s="16">
        <v>2</v>
      </c>
      <c r="D259" s="16">
        <v>2</v>
      </c>
      <c r="E259" s="16">
        <v>14</v>
      </c>
      <c r="F259" s="17" t="s">
        <v>63</v>
      </c>
      <c r="G259" s="23" t="s">
        <v>18</v>
      </c>
      <c r="H259" s="23" t="s">
        <v>102</v>
      </c>
      <c r="I259" s="17" t="str">
        <f t="shared" si="8"/>
        <v>Linear</v>
      </c>
    </row>
    <row r="260" spans="1:9" x14ac:dyDescent="0.2">
      <c r="A260" s="16"/>
      <c r="B260" s="16">
        <v>2007</v>
      </c>
      <c r="C260" s="16">
        <v>2</v>
      </c>
      <c r="D260" s="16">
        <v>2</v>
      </c>
      <c r="E260" s="16">
        <v>15</v>
      </c>
      <c r="F260" s="17" t="s">
        <v>63</v>
      </c>
      <c r="G260" s="22" t="s">
        <v>98</v>
      </c>
      <c r="H260" s="22" t="s">
        <v>100</v>
      </c>
      <c r="I260" s="17" t="str">
        <f t="shared" si="8"/>
        <v>Cálculo</v>
      </c>
    </row>
    <row r="261" spans="1:9" x14ac:dyDescent="0.2">
      <c r="A261" s="16"/>
      <c r="B261" s="16">
        <v>2007</v>
      </c>
      <c r="C261" s="16">
        <v>2</v>
      </c>
      <c r="D261" s="16">
        <v>2</v>
      </c>
      <c r="E261" s="16">
        <v>16</v>
      </c>
      <c r="F261" s="17" t="s">
        <v>64</v>
      </c>
      <c r="G261" s="18" t="s">
        <v>18</v>
      </c>
      <c r="H261" s="18" t="s">
        <v>102</v>
      </c>
      <c r="I261" s="17" t="str">
        <f t="shared" si="8"/>
        <v>Linear</v>
      </c>
    </row>
    <row r="262" spans="1:9" x14ac:dyDescent="0.2">
      <c r="A262" s="16"/>
      <c r="B262" s="16">
        <v>2007</v>
      </c>
      <c r="C262" s="16">
        <v>2</v>
      </c>
      <c r="D262" s="16">
        <v>2</v>
      </c>
      <c r="E262" s="16">
        <v>17</v>
      </c>
      <c r="F262" s="17" t="s">
        <v>64</v>
      </c>
      <c r="G262" s="18" t="s">
        <v>18</v>
      </c>
      <c r="H262" s="18" t="s">
        <v>102</v>
      </c>
      <c r="I262" s="17" t="str">
        <f t="shared" si="8"/>
        <v>Linear</v>
      </c>
    </row>
    <row r="263" spans="1:9" x14ac:dyDescent="0.2">
      <c r="A263" s="16"/>
      <c r="B263" s="16">
        <v>2007</v>
      </c>
      <c r="C263" s="16">
        <v>2</v>
      </c>
      <c r="D263" s="16">
        <v>2</v>
      </c>
      <c r="E263" s="16">
        <v>18</v>
      </c>
      <c r="F263" s="17" t="s">
        <v>64</v>
      </c>
      <c r="G263" s="18" t="s">
        <v>18</v>
      </c>
      <c r="H263" s="18" t="s">
        <v>102</v>
      </c>
      <c r="I263" s="17" t="str">
        <f t="shared" si="8"/>
        <v>Linear</v>
      </c>
    </row>
    <row r="264" spans="1:9" x14ac:dyDescent="0.2">
      <c r="A264" s="16"/>
      <c r="B264" s="16">
        <v>2007</v>
      </c>
      <c r="C264" s="16">
        <v>2</v>
      </c>
      <c r="D264" s="16">
        <v>2</v>
      </c>
      <c r="E264" s="16">
        <v>19</v>
      </c>
      <c r="F264" s="17" t="s">
        <v>64</v>
      </c>
      <c r="G264" s="18" t="s">
        <v>18</v>
      </c>
      <c r="H264" s="18" t="s">
        <v>102</v>
      </c>
      <c r="I264" s="17" t="str">
        <f t="shared" si="8"/>
        <v>Linear</v>
      </c>
    </row>
    <row r="265" spans="1:9" x14ac:dyDescent="0.2">
      <c r="A265" s="16"/>
      <c r="B265" s="16">
        <v>2007</v>
      </c>
      <c r="C265" s="16">
        <v>2</v>
      </c>
      <c r="D265" s="16">
        <v>2</v>
      </c>
      <c r="E265" s="16">
        <v>20</v>
      </c>
      <c r="F265" s="17" t="s">
        <v>64</v>
      </c>
      <c r="G265" s="18" t="s">
        <v>18</v>
      </c>
      <c r="H265" s="18" t="s">
        <v>102</v>
      </c>
      <c r="I265" s="17" t="str">
        <f t="shared" si="8"/>
        <v>Linear</v>
      </c>
    </row>
    <row r="266" spans="1:9" x14ac:dyDescent="0.2">
      <c r="A266" s="16"/>
      <c r="B266" s="16">
        <v>2007</v>
      </c>
      <c r="C266" s="16">
        <v>2</v>
      </c>
      <c r="D266" s="16">
        <v>2</v>
      </c>
      <c r="E266" s="16">
        <v>21</v>
      </c>
      <c r="F266" s="17" t="s">
        <v>60</v>
      </c>
      <c r="G266" s="23" t="s">
        <v>15</v>
      </c>
      <c r="H266" s="23" t="s">
        <v>108</v>
      </c>
      <c r="I266" s="17" t="str">
        <f t="shared" si="8"/>
        <v>1 Grupo</v>
      </c>
    </row>
    <row r="267" spans="1:9" x14ac:dyDescent="0.2">
      <c r="A267" s="16"/>
      <c r="B267" s="16">
        <v>2007</v>
      </c>
      <c r="C267" s="16">
        <v>2</v>
      </c>
      <c r="D267" s="16">
        <v>2</v>
      </c>
      <c r="E267" s="16">
        <v>22</v>
      </c>
      <c r="F267" s="17" t="s">
        <v>60</v>
      </c>
      <c r="G267" s="23" t="s">
        <v>15</v>
      </c>
      <c r="H267" s="23" t="s">
        <v>108</v>
      </c>
      <c r="I267" s="17" t="str">
        <f t="shared" si="8"/>
        <v>1 Grupo</v>
      </c>
    </row>
    <row r="268" spans="1:9" x14ac:dyDescent="0.2">
      <c r="A268" s="16"/>
      <c r="B268" s="16">
        <v>2007</v>
      </c>
      <c r="C268" s="16">
        <v>2</v>
      </c>
      <c r="D268" s="16">
        <v>2</v>
      </c>
      <c r="E268" s="16">
        <v>23</v>
      </c>
      <c r="F268" s="17" t="s">
        <v>60</v>
      </c>
      <c r="G268" s="23" t="s">
        <v>15</v>
      </c>
      <c r="H268" s="23" t="s">
        <v>108</v>
      </c>
      <c r="I268" s="17" t="str">
        <f t="shared" si="8"/>
        <v>1 Grupo</v>
      </c>
    </row>
    <row r="269" spans="1:9" x14ac:dyDescent="0.2">
      <c r="A269" s="16"/>
      <c r="B269" s="16">
        <v>2007</v>
      </c>
      <c r="C269" s="16">
        <v>2</v>
      </c>
      <c r="D269" s="16">
        <v>2</v>
      </c>
      <c r="E269" s="16">
        <v>24</v>
      </c>
      <c r="F269" s="17" t="s">
        <v>60</v>
      </c>
      <c r="G269" s="23" t="s">
        <v>15</v>
      </c>
      <c r="H269" s="23" t="s">
        <v>108</v>
      </c>
      <c r="I269" s="17" t="str">
        <f t="shared" si="8"/>
        <v>1 Grupo</v>
      </c>
    </row>
    <row r="270" spans="1:9" x14ac:dyDescent="0.2">
      <c r="A270" s="16"/>
      <c r="B270" s="16">
        <v>2007</v>
      </c>
      <c r="C270" s="16">
        <v>2</v>
      </c>
      <c r="D270" s="16">
        <v>2</v>
      </c>
      <c r="E270" s="16">
        <v>25</v>
      </c>
      <c r="F270" s="17" t="s">
        <v>60</v>
      </c>
      <c r="G270" s="23" t="s">
        <v>15</v>
      </c>
      <c r="H270" s="23" t="s">
        <v>108</v>
      </c>
      <c r="I270" s="17" t="str">
        <f t="shared" si="8"/>
        <v>1 Grupo</v>
      </c>
    </row>
    <row r="271" spans="1:9" x14ac:dyDescent="0.2">
      <c r="A271" s="16"/>
      <c r="B271" s="16">
        <v>2008</v>
      </c>
      <c r="C271" s="16">
        <v>1</v>
      </c>
      <c r="D271" s="16">
        <v>1</v>
      </c>
      <c r="E271" s="16">
        <v>1</v>
      </c>
      <c r="F271" s="17" t="s">
        <v>65</v>
      </c>
      <c r="G271" s="22" t="s">
        <v>15</v>
      </c>
      <c r="H271" s="22" t="s">
        <v>104</v>
      </c>
      <c r="I271" s="17" t="str">
        <f t="shared" si="8"/>
        <v>N-Grupos</v>
      </c>
    </row>
    <row r="272" spans="1:9" x14ac:dyDescent="0.2">
      <c r="A272" s="16"/>
      <c r="B272" s="16">
        <v>2008</v>
      </c>
      <c r="C272" s="16">
        <v>1</v>
      </c>
      <c r="D272" s="16">
        <v>1</v>
      </c>
      <c r="E272" s="16">
        <v>2</v>
      </c>
      <c r="F272" s="17" t="s">
        <v>65</v>
      </c>
      <c r="G272" s="22" t="s">
        <v>15</v>
      </c>
      <c r="H272" s="22" t="s">
        <v>104</v>
      </c>
      <c r="I272" s="17" t="str">
        <f t="shared" si="8"/>
        <v>N-Grupos</v>
      </c>
    </row>
    <row r="273" spans="1:9" x14ac:dyDescent="0.2">
      <c r="A273" s="16"/>
      <c r="B273" s="16">
        <v>2008</v>
      </c>
      <c r="C273" s="16">
        <v>1</v>
      </c>
      <c r="D273" s="16">
        <v>1</v>
      </c>
      <c r="E273" s="16">
        <v>3</v>
      </c>
      <c r="F273" s="17" t="s">
        <v>65</v>
      </c>
      <c r="G273" s="22" t="s">
        <v>15</v>
      </c>
      <c r="H273" s="22" t="s">
        <v>104</v>
      </c>
      <c r="I273" s="17" t="str">
        <f t="shared" si="8"/>
        <v>N-Grupos</v>
      </c>
    </row>
    <row r="274" spans="1:9" x14ac:dyDescent="0.2">
      <c r="A274" s="16"/>
      <c r="B274" s="16">
        <v>2008</v>
      </c>
      <c r="C274" s="16">
        <v>1</v>
      </c>
      <c r="D274" s="16">
        <v>1</v>
      </c>
      <c r="E274" s="16">
        <v>4</v>
      </c>
      <c r="F274" s="17" t="s">
        <v>65</v>
      </c>
      <c r="G274" s="22" t="s">
        <v>15</v>
      </c>
      <c r="H274" s="22" t="s">
        <v>104</v>
      </c>
      <c r="I274" s="17" t="str">
        <f t="shared" si="8"/>
        <v>N-Grupos</v>
      </c>
    </row>
    <row r="275" spans="1:9" x14ac:dyDescent="0.2">
      <c r="A275" s="16"/>
      <c r="B275" s="16">
        <v>2008</v>
      </c>
      <c r="C275" s="16">
        <v>1</v>
      </c>
      <c r="D275" s="16">
        <v>1</v>
      </c>
      <c r="E275" s="16">
        <v>5</v>
      </c>
      <c r="F275" s="17" t="s">
        <v>65</v>
      </c>
      <c r="G275" s="22" t="s">
        <v>15</v>
      </c>
      <c r="H275" s="22" t="s">
        <v>104</v>
      </c>
      <c r="I275" s="17" t="str">
        <f t="shared" si="8"/>
        <v>N-Grupos</v>
      </c>
    </row>
    <row r="276" spans="1:9" x14ac:dyDescent="0.2">
      <c r="A276" s="16"/>
      <c r="B276" s="16">
        <v>2008</v>
      </c>
      <c r="C276" s="16">
        <v>1</v>
      </c>
      <c r="D276" s="16">
        <v>1</v>
      </c>
      <c r="E276" s="16">
        <v>6</v>
      </c>
      <c r="F276" s="17" t="s">
        <v>66</v>
      </c>
      <c r="G276" s="22" t="s">
        <v>15</v>
      </c>
      <c r="H276" s="22" t="s">
        <v>104</v>
      </c>
      <c r="I276" s="17" t="str">
        <f t="shared" si="8"/>
        <v>N-Grupos</v>
      </c>
    </row>
    <row r="277" spans="1:9" x14ac:dyDescent="0.2">
      <c r="A277" s="16"/>
      <c r="B277" s="16">
        <v>2008</v>
      </c>
      <c r="C277" s="16">
        <v>1</v>
      </c>
      <c r="D277" s="16">
        <v>1</v>
      </c>
      <c r="E277" s="16">
        <v>7</v>
      </c>
      <c r="F277" s="17" t="s">
        <v>66</v>
      </c>
      <c r="G277" s="22" t="s">
        <v>15</v>
      </c>
      <c r="H277" s="22" t="s">
        <v>104</v>
      </c>
      <c r="I277" s="17" t="str">
        <f t="shared" si="8"/>
        <v>N-Grupos</v>
      </c>
    </row>
    <row r="278" spans="1:9" x14ac:dyDescent="0.2">
      <c r="A278" s="16"/>
      <c r="B278" s="16">
        <v>2008</v>
      </c>
      <c r="C278" s="16">
        <v>1</v>
      </c>
      <c r="D278" s="16">
        <v>1</v>
      </c>
      <c r="E278" s="16">
        <v>8</v>
      </c>
      <c r="F278" s="17" t="s">
        <v>66</v>
      </c>
      <c r="G278" s="22" t="s">
        <v>15</v>
      </c>
      <c r="H278" s="22" t="s">
        <v>104</v>
      </c>
      <c r="I278" s="17" t="str">
        <f t="shared" si="8"/>
        <v>N-Grupos</v>
      </c>
    </row>
    <row r="279" spans="1:9" x14ac:dyDescent="0.2">
      <c r="A279" s="16"/>
      <c r="B279" s="16">
        <v>2008</v>
      </c>
      <c r="C279" s="16">
        <v>1</v>
      </c>
      <c r="D279" s="16">
        <v>1</v>
      </c>
      <c r="E279" s="16">
        <v>9</v>
      </c>
      <c r="F279" s="17" t="s">
        <v>66</v>
      </c>
      <c r="G279" s="22" t="s">
        <v>15</v>
      </c>
      <c r="H279" s="22" t="s">
        <v>104</v>
      </c>
      <c r="I279" s="17" t="str">
        <f t="shared" si="8"/>
        <v>N-Grupos</v>
      </c>
    </row>
    <row r="280" spans="1:9" x14ac:dyDescent="0.2">
      <c r="A280" s="16"/>
      <c r="B280" s="16">
        <v>2008</v>
      </c>
      <c r="C280" s="16">
        <v>1</v>
      </c>
      <c r="D280" s="16">
        <v>1</v>
      </c>
      <c r="E280" s="16">
        <v>10</v>
      </c>
      <c r="F280" s="17" t="s">
        <v>66</v>
      </c>
      <c r="G280" s="22" t="s">
        <v>15</v>
      </c>
      <c r="H280" s="22" t="s">
        <v>104</v>
      </c>
      <c r="I280" s="17" t="str">
        <f t="shared" si="8"/>
        <v>N-Grupos</v>
      </c>
    </row>
    <row r="281" spans="1:9" x14ac:dyDescent="0.2">
      <c r="A281" s="16"/>
      <c r="B281" s="16">
        <v>2008</v>
      </c>
      <c r="C281" s="16">
        <v>1</v>
      </c>
      <c r="D281" s="16">
        <v>1</v>
      </c>
      <c r="E281" s="16">
        <v>11</v>
      </c>
      <c r="F281" s="17" t="s">
        <v>67</v>
      </c>
      <c r="G281" s="18" t="s">
        <v>18</v>
      </c>
      <c r="H281" s="22" t="s">
        <v>103</v>
      </c>
      <c r="I281" s="17" t="s">
        <v>111</v>
      </c>
    </row>
    <row r="282" spans="1:9" x14ac:dyDescent="0.2">
      <c r="A282" s="16"/>
      <c r="B282" s="16">
        <v>2008</v>
      </c>
      <c r="C282" s="16">
        <v>1</v>
      </c>
      <c r="D282" s="16">
        <v>1</v>
      </c>
      <c r="E282" s="16">
        <v>12</v>
      </c>
      <c r="F282" s="17" t="s">
        <v>67</v>
      </c>
      <c r="G282" s="18" t="s">
        <v>18</v>
      </c>
      <c r="H282" s="22" t="s">
        <v>103</v>
      </c>
      <c r="I282" s="17" t="s">
        <v>111</v>
      </c>
    </row>
    <row r="283" spans="1:9" x14ac:dyDescent="0.2">
      <c r="A283" s="16"/>
      <c r="B283" s="16">
        <v>2008</v>
      </c>
      <c r="C283" s="16">
        <v>1</v>
      </c>
      <c r="D283" s="16">
        <v>1</v>
      </c>
      <c r="E283" s="16">
        <v>13</v>
      </c>
      <c r="F283" s="17" t="s">
        <v>67</v>
      </c>
      <c r="G283" s="18" t="s">
        <v>18</v>
      </c>
      <c r="H283" s="22" t="s">
        <v>103</v>
      </c>
      <c r="I283" s="17" t="s">
        <v>111</v>
      </c>
    </row>
    <row r="284" spans="1:9" x14ac:dyDescent="0.2">
      <c r="A284" s="16"/>
      <c r="B284" s="16">
        <v>2008</v>
      </c>
      <c r="C284" s="16">
        <v>1</v>
      </c>
      <c r="D284" s="16">
        <v>1</v>
      </c>
      <c r="E284" s="16">
        <v>14</v>
      </c>
      <c r="F284" s="17" t="s">
        <v>67</v>
      </c>
      <c r="G284" s="18" t="s">
        <v>18</v>
      </c>
      <c r="H284" s="22" t="s">
        <v>103</v>
      </c>
      <c r="I284" s="17" t="s">
        <v>111</v>
      </c>
    </row>
    <row r="285" spans="1:9" x14ac:dyDescent="0.2">
      <c r="A285" s="16"/>
      <c r="B285" s="16">
        <v>2008</v>
      </c>
      <c r="C285" s="16">
        <v>1</v>
      </c>
      <c r="D285" s="16">
        <v>1</v>
      </c>
      <c r="E285" s="16">
        <v>15</v>
      </c>
      <c r="F285" s="17" t="s">
        <v>67</v>
      </c>
      <c r="G285" s="18" t="s">
        <v>18</v>
      </c>
      <c r="H285" s="22" t="s">
        <v>103</v>
      </c>
      <c r="I285" s="17" t="s">
        <v>111</v>
      </c>
    </row>
    <row r="286" spans="1:9" x14ac:dyDescent="0.2">
      <c r="A286" s="16"/>
      <c r="B286" s="16">
        <v>2008</v>
      </c>
      <c r="C286" s="16">
        <v>1</v>
      </c>
      <c r="D286" s="16">
        <v>1</v>
      </c>
      <c r="E286" s="16">
        <v>16</v>
      </c>
      <c r="F286" s="17" t="s">
        <v>68</v>
      </c>
      <c r="G286" s="18" t="s">
        <v>18</v>
      </c>
      <c r="H286" s="18" t="s">
        <v>102</v>
      </c>
      <c r="I286" s="17" t="str">
        <f t="shared" ref="I286:I450" si="9">RIGHT(H286,LEN(H286) - (FIND("-",H286) + 1))</f>
        <v>Linear</v>
      </c>
    </row>
    <row r="287" spans="1:9" x14ac:dyDescent="0.2">
      <c r="A287" s="16"/>
      <c r="B287" s="16">
        <v>2008</v>
      </c>
      <c r="C287" s="16">
        <v>1</v>
      </c>
      <c r="D287" s="16">
        <v>1</v>
      </c>
      <c r="E287" s="16">
        <v>17</v>
      </c>
      <c r="F287" s="17" t="s">
        <v>68</v>
      </c>
      <c r="G287" s="18" t="s">
        <v>18</v>
      </c>
      <c r="H287" s="18" t="s">
        <v>102</v>
      </c>
      <c r="I287" s="17" t="str">
        <f t="shared" si="9"/>
        <v>Linear</v>
      </c>
    </row>
    <row r="288" spans="1:9" x14ac:dyDescent="0.2">
      <c r="A288" s="16"/>
      <c r="B288" s="16">
        <v>2008</v>
      </c>
      <c r="C288" s="16">
        <v>1</v>
      </c>
      <c r="D288" s="16">
        <v>1</v>
      </c>
      <c r="E288" s="16">
        <v>18</v>
      </c>
      <c r="F288" s="17" t="s">
        <v>68</v>
      </c>
      <c r="G288" s="18" t="s">
        <v>18</v>
      </c>
      <c r="H288" s="18" t="s">
        <v>102</v>
      </c>
      <c r="I288" s="17" t="str">
        <f t="shared" si="9"/>
        <v>Linear</v>
      </c>
    </row>
    <row r="289" spans="1:9" x14ac:dyDescent="0.2">
      <c r="A289" s="16"/>
      <c r="B289" s="16">
        <v>2008</v>
      </c>
      <c r="C289" s="16">
        <v>1</v>
      </c>
      <c r="D289" s="16">
        <v>1</v>
      </c>
      <c r="E289" s="16">
        <v>19</v>
      </c>
      <c r="F289" s="17" t="s">
        <v>68</v>
      </c>
      <c r="G289" s="18" t="s">
        <v>18</v>
      </c>
      <c r="H289" s="18" t="s">
        <v>102</v>
      </c>
      <c r="I289" s="17" t="str">
        <f t="shared" si="9"/>
        <v>Linear</v>
      </c>
    </row>
    <row r="290" spans="1:9" x14ac:dyDescent="0.2">
      <c r="A290" s="16"/>
      <c r="B290" s="16">
        <v>2008</v>
      </c>
      <c r="C290" s="16">
        <v>1</v>
      </c>
      <c r="D290" s="16">
        <v>1</v>
      </c>
      <c r="E290" s="16">
        <v>20</v>
      </c>
      <c r="F290" s="17" t="s">
        <v>68</v>
      </c>
      <c r="G290" s="18" t="s">
        <v>18</v>
      </c>
      <c r="H290" s="18" t="s">
        <v>102</v>
      </c>
      <c r="I290" s="17" t="str">
        <f t="shared" si="9"/>
        <v>Linear</v>
      </c>
    </row>
    <row r="291" spans="1:9" x14ac:dyDescent="0.2">
      <c r="A291" s="16"/>
      <c r="B291" s="16">
        <v>2008</v>
      </c>
      <c r="C291" s="16">
        <v>2</v>
      </c>
      <c r="D291" s="16">
        <v>1</v>
      </c>
      <c r="E291" s="16">
        <v>1</v>
      </c>
      <c r="F291" s="17" t="s">
        <v>65</v>
      </c>
      <c r="G291" s="22" t="s">
        <v>15</v>
      </c>
      <c r="H291" s="22" t="s">
        <v>104</v>
      </c>
      <c r="I291" s="17" t="str">
        <f t="shared" si="9"/>
        <v>N-Grupos</v>
      </c>
    </row>
    <row r="292" spans="1:9" x14ac:dyDescent="0.2">
      <c r="A292" s="16"/>
      <c r="B292" s="16">
        <v>2008</v>
      </c>
      <c r="C292" s="16">
        <v>2</v>
      </c>
      <c r="D292" s="16">
        <v>1</v>
      </c>
      <c r="E292" s="16">
        <v>2</v>
      </c>
      <c r="F292" s="17" t="s">
        <v>65</v>
      </c>
      <c r="G292" s="22" t="s">
        <v>15</v>
      </c>
      <c r="H292" s="22" t="s">
        <v>104</v>
      </c>
      <c r="I292" s="17" t="str">
        <f t="shared" si="9"/>
        <v>N-Grupos</v>
      </c>
    </row>
    <row r="293" spans="1:9" x14ac:dyDescent="0.2">
      <c r="A293" s="16"/>
      <c r="B293" s="16">
        <v>2008</v>
      </c>
      <c r="C293" s="16">
        <v>2</v>
      </c>
      <c r="D293" s="16">
        <v>1</v>
      </c>
      <c r="E293" s="16">
        <v>3</v>
      </c>
      <c r="F293" s="17" t="s">
        <v>65</v>
      </c>
      <c r="G293" s="22" t="s">
        <v>15</v>
      </c>
      <c r="H293" s="22" t="s">
        <v>104</v>
      </c>
      <c r="I293" s="17" t="str">
        <f t="shared" si="9"/>
        <v>N-Grupos</v>
      </c>
    </row>
    <row r="294" spans="1:9" x14ac:dyDescent="0.2">
      <c r="A294" s="16"/>
      <c r="B294" s="16">
        <v>2008</v>
      </c>
      <c r="C294" s="16">
        <v>2</v>
      </c>
      <c r="D294" s="16">
        <v>1</v>
      </c>
      <c r="E294" s="16">
        <v>4</v>
      </c>
      <c r="F294" s="17" t="s">
        <v>65</v>
      </c>
      <c r="G294" s="22" t="s">
        <v>15</v>
      </c>
      <c r="H294" s="22" t="s">
        <v>104</v>
      </c>
      <c r="I294" s="17" t="str">
        <f t="shared" si="9"/>
        <v>N-Grupos</v>
      </c>
    </row>
    <row r="295" spans="1:9" x14ac:dyDescent="0.2">
      <c r="A295" s="16"/>
      <c r="B295" s="16">
        <v>2008</v>
      </c>
      <c r="C295" s="16">
        <v>2</v>
      </c>
      <c r="D295" s="16">
        <v>1</v>
      </c>
      <c r="E295" s="16">
        <v>5</v>
      </c>
      <c r="F295" s="17" t="s">
        <v>65</v>
      </c>
      <c r="G295" s="22" t="s">
        <v>15</v>
      </c>
      <c r="H295" s="22" t="s">
        <v>104</v>
      </c>
      <c r="I295" s="17" t="str">
        <f t="shared" si="9"/>
        <v>N-Grupos</v>
      </c>
    </row>
    <row r="296" spans="1:9" x14ac:dyDescent="0.2">
      <c r="A296" s="16"/>
      <c r="B296" s="16">
        <v>2008</v>
      </c>
      <c r="C296" s="16">
        <v>2</v>
      </c>
      <c r="D296" s="16">
        <v>1</v>
      </c>
      <c r="E296" s="16">
        <v>6</v>
      </c>
      <c r="F296" s="17" t="s">
        <v>69</v>
      </c>
      <c r="G296" s="18" t="s">
        <v>15</v>
      </c>
      <c r="H296" s="18" t="s">
        <v>108</v>
      </c>
      <c r="I296" s="17" t="str">
        <f t="shared" si="9"/>
        <v>1 Grupo</v>
      </c>
    </row>
    <row r="297" spans="1:9" x14ac:dyDescent="0.2">
      <c r="A297" s="16"/>
      <c r="B297" s="16">
        <v>2008</v>
      </c>
      <c r="C297" s="16">
        <v>2</v>
      </c>
      <c r="D297" s="16">
        <v>1</v>
      </c>
      <c r="E297" s="16">
        <v>7</v>
      </c>
      <c r="F297" s="17" t="s">
        <v>69</v>
      </c>
      <c r="G297" s="18" t="s">
        <v>15</v>
      </c>
      <c r="H297" s="18" t="s">
        <v>108</v>
      </c>
      <c r="I297" s="17" t="str">
        <f t="shared" si="9"/>
        <v>1 Grupo</v>
      </c>
    </row>
    <row r="298" spans="1:9" x14ac:dyDescent="0.2">
      <c r="A298" s="16"/>
      <c r="B298" s="16">
        <v>2008</v>
      </c>
      <c r="C298" s="16">
        <v>2</v>
      </c>
      <c r="D298" s="16">
        <v>1</v>
      </c>
      <c r="E298" s="16">
        <v>8</v>
      </c>
      <c r="F298" s="17" t="s">
        <v>69</v>
      </c>
      <c r="G298" s="18" t="s">
        <v>15</v>
      </c>
      <c r="H298" s="18" t="s">
        <v>108</v>
      </c>
      <c r="I298" s="17" t="str">
        <f t="shared" si="9"/>
        <v>1 Grupo</v>
      </c>
    </row>
    <row r="299" spans="1:9" x14ac:dyDescent="0.2">
      <c r="A299" s="16"/>
      <c r="B299" s="16">
        <v>2008</v>
      </c>
      <c r="C299" s="16">
        <v>2</v>
      </c>
      <c r="D299" s="16">
        <v>1</v>
      </c>
      <c r="E299" s="16">
        <v>9</v>
      </c>
      <c r="F299" s="17" t="s">
        <v>69</v>
      </c>
      <c r="G299" s="18" t="s">
        <v>15</v>
      </c>
      <c r="H299" s="18" t="s">
        <v>108</v>
      </c>
      <c r="I299" s="17" t="str">
        <f t="shared" si="9"/>
        <v>1 Grupo</v>
      </c>
    </row>
    <row r="300" spans="1:9" x14ac:dyDescent="0.2">
      <c r="A300" s="16"/>
      <c r="B300" s="16">
        <v>2008</v>
      </c>
      <c r="C300" s="16">
        <v>2</v>
      </c>
      <c r="D300" s="16">
        <v>1</v>
      </c>
      <c r="E300" s="16">
        <v>10</v>
      </c>
      <c r="F300" s="17" t="s">
        <v>69</v>
      </c>
      <c r="G300" s="18" t="s">
        <v>15</v>
      </c>
      <c r="H300" s="18" t="s">
        <v>108</v>
      </c>
      <c r="I300" s="17" t="str">
        <f t="shared" si="9"/>
        <v>1 Grupo</v>
      </c>
    </row>
    <row r="301" spans="1:9" x14ac:dyDescent="0.2">
      <c r="A301" s="16"/>
      <c r="B301" s="16">
        <v>2008</v>
      </c>
      <c r="C301" s="16">
        <v>2</v>
      </c>
      <c r="D301" s="16">
        <v>1</v>
      </c>
      <c r="E301" s="16">
        <v>11</v>
      </c>
      <c r="F301" s="17" t="s">
        <v>70</v>
      </c>
      <c r="G301" s="18" t="s">
        <v>15</v>
      </c>
      <c r="H301" s="18" t="s">
        <v>104</v>
      </c>
      <c r="I301" s="17" t="str">
        <f t="shared" si="9"/>
        <v>N-Grupos</v>
      </c>
    </row>
    <row r="302" spans="1:9" x14ac:dyDescent="0.2">
      <c r="A302" s="16"/>
      <c r="B302" s="16">
        <v>2008</v>
      </c>
      <c r="C302" s="16">
        <v>2</v>
      </c>
      <c r="D302" s="16">
        <v>1</v>
      </c>
      <c r="E302" s="16">
        <v>12</v>
      </c>
      <c r="F302" s="17" t="s">
        <v>70</v>
      </c>
      <c r="G302" s="18" t="s">
        <v>15</v>
      </c>
      <c r="H302" s="18" t="s">
        <v>104</v>
      </c>
      <c r="I302" s="17" t="str">
        <f t="shared" si="9"/>
        <v>N-Grupos</v>
      </c>
    </row>
    <row r="303" spans="1:9" x14ac:dyDescent="0.2">
      <c r="A303" s="16"/>
      <c r="B303" s="16">
        <v>2008</v>
      </c>
      <c r="C303" s="16">
        <v>2</v>
      </c>
      <c r="D303" s="16">
        <v>1</v>
      </c>
      <c r="E303" s="16">
        <v>13</v>
      </c>
      <c r="F303" s="17" t="s">
        <v>70</v>
      </c>
      <c r="G303" s="18" t="s">
        <v>15</v>
      </c>
      <c r="H303" s="18" t="s">
        <v>104</v>
      </c>
      <c r="I303" s="17" t="str">
        <f t="shared" si="9"/>
        <v>N-Grupos</v>
      </c>
    </row>
    <row r="304" spans="1:9" x14ac:dyDescent="0.2">
      <c r="A304" s="16"/>
      <c r="B304" s="16">
        <v>2008</v>
      </c>
      <c r="C304" s="16">
        <v>2</v>
      </c>
      <c r="D304" s="16">
        <v>1</v>
      </c>
      <c r="E304" s="16">
        <v>14</v>
      </c>
      <c r="F304" s="17" t="s">
        <v>70</v>
      </c>
      <c r="G304" s="18" t="s">
        <v>15</v>
      </c>
      <c r="H304" s="18" t="s">
        <v>104</v>
      </c>
      <c r="I304" s="17" t="str">
        <f t="shared" si="9"/>
        <v>N-Grupos</v>
      </c>
    </row>
    <row r="305" spans="1:9" x14ac:dyDescent="0.2">
      <c r="A305" s="16"/>
      <c r="B305" s="16">
        <v>2008</v>
      </c>
      <c r="C305" s="16">
        <v>2</v>
      </c>
      <c r="D305" s="16">
        <v>1</v>
      </c>
      <c r="E305" s="16">
        <v>15</v>
      </c>
      <c r="F305" s="17" t="s">
        <v>70</v>
      </c>
      <c r="G305" s="18" t="s">
        <v>15</v>
      </c>
      <c r="H305" s="18" t="s">
        <v>104</v>
      </c>
      <c r="I305" s="17" t="str">
        <f t="shared" si="9"/>
        <v>N-Grupos</v>
      </c>
    </row>
    <row r="306" spans="1:9" x14ac:dyDescent="0.2">
      <c r="A306" s="16"/>
      <c r="B306" s="16">
        <v>2008</v>
      </c>
      <c r="C306" s="16">
        <v>2</v>
      </c>
      <c r="D306" s="16">
        <v>1</v>
      </c>
      <c r="E306" s="16">
        <v>16</v>
      </c>
      <c r="F306" s="17" t="s">
        <v>71</v>
      </c>
      <c r="G306" s="22" t="s">
        <v>15</v>
      </c>
      <c r="H306" s="22" t="s">
        <v>104</v>
      </c>
      <c r="I306" s="17" t="str">
        <f t="shared" si="9"/>
        <v>N-Grupos</v>
      </c>
    </row>
    <row r="307" spans="1:9" x14ac:dyDescent="0.2">
      <c r="A307" s="16"/>
      <c r="B307" s="16">
        <v>2008</v>
      </c>
      <c r="C307" s="16">
        <v>2</v>
      </c>
      <c r="D307" s="16">
        <v>1</v>
      </c>
      <c r="E307" s="16">
        <v>17</v>
      </c>
      <c r="F307" s="17" t="s">
        <v>71</v>
      </c>
      <c r="G307" s="22" t="s">
        <v>15</v>
      </c>
      <c r="H307" s="22" t="s">
        <v>104</v>
      </c>
      <c r="I307" s="17" t="str">
        <f t="shared" si="9"/>
        <v>N-Grupos</v>
      </c>
    </row>
    <row r="308" spans="1:9" x14ac:dyDescent="0.2">
      <c r="A308" s="16"/>
      <c r="B308" s="16">
        <v>2008</v>
      </c>
      <c r="C308" s="16">
        <v>2</v>
      </c>
      <c r="D308" s="16">
        <v>1</v>
      </c>
      <c r="E308" s="16">
        <v>18</v>
      </c>
      <c r="F308" s="17" t="s">
        <v>71</v>
      </c>
      <c r="G308" s="22" t="s">
        <v>15</v>
      </c>
      <c r="H308" s="22" t="s">
        <v>104</v>
      </c>
      <c r="I308" s="17" t="str">
        <f t="shared" si="9"/>
        <v>N-Grupos</v>
      </c>
    </row>
    <row r="309" spans="1:9" x14ac:dyDescent="0.2">
      <c r="A309" s="16"/>
      <c r="B309" s="16">
        <v>2008</v>
      </c>
      <c r="C309" s="16">
        <v>2</v>
      </c>
      <c r="D309" s="16">
        <v>1</v>
      </c>
      <c r="E309" s="16">
        <v>19</v>
      </c>
      <c r="F309" s="17" t="s">
        <v>71</v>
      </c>
      <c r="G309" s="22" t="s">
        <v>15</v>
      </c>
      <c r="H309" s="22" t="s">
        <v>104</v>
      </c>
      <c r="I309" s="17" t="str">
        <f t="shared" si="9"/>
        <v>N-Grupos</v>
      </c>
    </row>
    <row r="310" spans="1:9" x14ac:dyDescent="0.2">
      <c r="A310" s="16"/>
      <c r="B310" s="16">
        <v>2008</v>
      </c>
      <c r="C310" s="16">
        <v>2</v>
      </c>
      <c r="D310" s="16">
        <v>1</v>
      </c>
      <c r="E310" s="16">
        <v>20</v>
      </c>
      <c r="F310" s="17" t="s">
        <v>71</v>
      </c>
      <c r="G310" s="22" t="s">
        <v>15</v>
      </c>
      <c r="H310" s="22" t="s">
        <v>104</v>
      </c>
      <c r="I310" s="17" t="str">
        <f t="shared" si="9"/>
        <v>N-Grupos</v>
      </c>
    </row>
    <row r="311" spans="1:9" x14ac:dyDescent="0.2">
      <c r="A311" s="16"/>
      <c r="B311" s="16">
        <v>2008</v>
      </c>
      <c r="C311" s="16">
        <v>1</v>
      </c>
      <c r="D311" s="16">
        <v>2</v>
      </c>
      <c r="E311" s="16">
        <v>1</v>
      </c>
      <c r="F311" s="17" t="s">
        <v>72</v>
      </c>
      <c r="G311" s="18" t="s">
        <v>18</v>
      </c>
      <c r="H311" s="18" t="s">
        <v>102</v>
      </c>
      <c r="I311" s="17" t="str">
        <f t="shared" si="9"/>
        <v>Linear</v>
      </c>
    </row>
    <row r="312" spans="1:9" x14ac:dyDescent="0.2">
      <c r="A312" s="16"/>
      <c r="B312" s="16">
        <v>2008</v>
      </c>
      <c r="C312" s="16">
        <v>1</v>
      </c>
      <c r="D312" s="16">
        <v>2</v>
      </c>
      <c r="E312" s="16">
        <v>2</v>
      </c>
      <c r="F312" s="17" t="s">
        <v>72</v>
      </c>
      <c r="G312" s="18" t="s">
        <v>18</v>
      </c>
      <c r="H312" s="18" t="s">
        <v>102</v>
      </c>
      <c r="I312" s="17" t="str">
        <f t="shared" si="9"/>
        <v>Linear</v>
      </c>
    </row>
    <row r="313" spans="1:9" x14ac:dyDescent="0.2">
      <c r="A313" s="16"/>
      <c r="B313" s="16">
        <v>2008</v>
      </c>
      <c r="C313" s="16">
        <v>1</v>
      </c>
      <c r="D313" s="16">
        <v>2</v>
      </c>
      <c r="E313" s="16">
        <v>3</v>
      </c>
      <c r="F313" s="17" t="s">
        <v>72</v>
      </c>
      <c r="G313" s="18" t="s">
        <v>18</v>
      </c>
      <c r="H313" s="18" t="s">
        <v>102</v>
      </c>
      <c r="I313" s="17" t="str">
        <f t="shared" si="9"/>
        <v>Linear</v>
      </c>
    </row>
    <row r="314" spans="1:9" x14ac:dyDescent="0.2">
      <c r="A314" s="16"/>
      <c r="B314" s="16">
        <v>2008</v>
      </c>
      <c r="C314" s="16">
        <v>1</v>
      </c>
      <c r="D314" s="16">
        <v>2</v>
      </c>
      <c r="E314" s="16">
        <v>4</v>
      </c>
      <c r="F314" s="17" t="s">
        <v>72</v>
      </c>
      <c r="G314" s="18" t="s">
        <v>18</v>
      </c>
      <c r="H314" s="18" t="s">
        <v>102</v>
      </c>
      <c r="I314" s="17" t="str">
        <f t="shared" si="9"/>
        <v>Linear</v>
      </c>
    </row>
    <row r="315" spans="1:9" x14ac:dyDescent="0.2">
      <c r="A315" s="16"/>
      <c r="B315" s="16">
        <v>2008</v>
      </c>
      <c r="C315" s="16">
        <v>1</v>
      </c>
      <c r="D315" s="16">
        <v>2</v>
      </c>
      <c r="E315" s="16">
        <v>5</v>
      </c>
      <c r="F315" s="17" t="s">
        <v>72</v>
      </c>
      <c r="G315" s="18" t="s">
        <v>18</v>
      </c>
      <c r="H315" s="18" t="s">
        <v>102</v>
      </c>
      <c r="I315" s="17" t="str">
        <f t="shared" si="9"/>
        <v>Linear</v>
      </c>
    </row>
    <row r="316" spans="1:9" x14ac:dyDescent="0.2">
      <c r="A316" s="16"/>
      <c r="B316" s="16">
        <v>2008</v>
      </c>
      <c r="C316" s="16">
        <v>1</v>
      </c>
      <c r="D316" s="16">
        <v>2</v>
      </c>
      <c r="E316" s="16">
        <v>6</v>
      </c>
      <c r="F316" s="17" t="s">
        <v>73</v>
      </c>
      <c r="G316" s="22" t="s">
        <v>18</v>
      </c>
      <c r="H316" s="22" t="s">
        <v>102</v>
      </c>
      <c r="I316" s="17" t="str">
        <f t="shared" si="9"/>
        <v>Linear</v>
      </c>
    </row>
    <row r="317" spans="1:9" x14ac:dyDescent="0.2">
      <c r="A317" s="16"/>
      <c r="B317" s="16">
        <v>2008</v>
      </c>
      <c r="C317" s="16">
        <v>1</v>
      </c>
      <c r="D317" s="16">
        <v>2</v>
      </c>
      <c r="E317" s="16">
        <v>7</v>
      </c>
      <c r="F317" s="17" t="s">
        <v>73</v>
      </c>
      <c r="G317" s="22" t="s">
        <v>18</v>
      </c>
      <c r="H317" s="22" t="s">
        <v>102</v>
      </c>
      <c r="I317" s="17" t="str">
        <f t="shared" si="9"/>
        <v>Linear</v>
      </c>
    </row>
    <row r="318" spans="1:9" x14ac:dyDescent="0.2">
      <c r="A318" s="16"/>
      <c r="B318" s="16">
        <v>2008</v>
      </c>
      <c r="C318" s="16">
        <v>1</v>
      </c>
      <c r="D318" s="16">
        <v>2</v>
      </c>
      <c r="E318" s="16">
        <v>8</v>
      </c>
      <c r="F318" s="17" t="s">
        <v>73</v>
      </c>
      <c r="G318" s="22" t="s">
        <v>18</v>
      </c>
      <c r="H318" s="22" t="s">
        <v>102</v>
      </c>
      <c r="I318" s="17" t="str">
        <f t="shared" si="9"/>
        <v>Linear</v>
      </c>
    </row>
    <row r="319" spans="1:9" x14ac:dyDescent="0.2">
      <c r="A319" s="16"/>
      <c r="B319" s="16">
        <v>2008</v>
      </c>
      <c r="C319" s="16">
        <v>1</v>
      </c>
      <c r="D319" s="16">
        <v>2</v>
      </c>
      <c r="E319" s="16">
        <v>9</v>
      </c>
      <c r="F319" s="17" t="s">
        <v>73</v>
      </c>
      <c r="G319" s="22" t="s">
        <v>18</v>
      </c>
      <c r="H319" s="22" t="s">
        <v>102</v>
      </c>
      <c r="I319" s="17" t="str">
        <f t="shared" si="9"/>
        <v>Linear</v>
      </c>
    </row>
    <row r="320" spans="1:9" x14ac:dyDescent="0.2">
      <c r="A320" s="16"/>
      <c r="B320" s="16">
        <v>2008</v>
      </c>
      <c r="C320" s="16">
        <v>1</v>
      </c>
      <c r="D320" s="16">
        <v>2</v>
      </c>
      <c r="E320" s="16">
        <v>10</v>
      </c>
      <c r="F320" s="17" t="s">
        <v>73</v>
      </c>
      <c r="G320" s="22" t="s">
        <v>18</v>
      </c>
      <c r="H320" s="22" t="s">
        <v>102</v>
      </c>
      <c r="I320" s="17" t="str">
        <f t="shared" si="9"/>
        <v>Linear</v>
      </c>
    </row>
    <row r="321" spans="1:9" x14ac:dyDescent="0.2">
      <c r="A321" s="16"/>
      <c r="B321" s="16">
        <v>2008</v>
      </c>
      <c r="C321" s="16">
        <v>1</v>
      </c>
      <c r="D321" s="16">
        <v>2</v>
      </c>
      <c r="E321" s="16">
        <v>11</v>
      </c>
      <c r="F321" s="17" t="s">
        <v>74</v>
      </c>
      <c r="G321" s="18" t="s">
        <v>15</v>
      </c>
      <c r="H321" s="18" t="s">
        <v>104</v>
      </c>
      <c r="I321" s="17" t="str">
        <f t="shared" si="9"/>
        <v>N-Grupos</v>
      </c>
    </row>
    <row r="322" spans="1:9" x14ac:dyDescent="0.2">
      <c r="A322" s="16"/>
      <c r="B322" s="16">
        <v>2008</v>
      </c>
      <c r="C322" s="16">
        <v>1</v>
      </c>
      <c r="D322" s="16">
        <v>2</v>
      </c>
      <c r="E322" s="16">
        <v>12</v>
      </c>
      <c r="F322" s="17" t="s">
        <v>74</v>
      </c>
      <c r="G322" s="18" t="s">
        <v>15</v>
      </c>
      <c r="H322" s="18" t="s">
        <v>104</v>
      </c>
      <c r="I322" s="17" t="str">
        <f t="shared" si="9"/>
        <v>N-Grupos</v>
      </c>
    </row>
    <row r="323" spans="1:9" x14ac:dyDescent="0.2">
      <c r="A323" s="16"/>
      <c r="B323" s="16">
        <v>2008</v>
      </c>
      <c r="C323" s="16">
        <v>1</v>
      </c>
      <c r="D323" s="16">
        <v>2</v>
      </c>
      <c r="E323" s="16">
        <v>13</v>
      </c>
      <c r="F323" s="17" t="s">
        <v>74</v>
      </c>
      <c r="G323" s="18" t="s">
        <v>15</v>
      </c>
      <c r="H323" s="18" t="s">
        <v>104</v>
      </c>
      <c r="I323" s="17" t="str">
        <f t="shared" si="9"/>
        <v>N-Grupos</v>
      </c>
    </row>
    <row r="324" spans="1:9" x14ac:dyDescent="0.2">
      <c r="A324" s="16"/>
      <c r="B324" s="16">
        <v>2008</v>
      </c>
      <c r="C324" s="16">
        <v>1</v>
      </c>
      <c r="D324" s="16">
        <v>2</v>
      </c>
      <c r="E324" s="16">
        <v>14</v>
      </c>
      <c r="F324" s="17" t="s">
        <v>74</v>
      </c>
      <c r="G324" s="18" t="s">
        <v>15</v>
      </c>
      <c r="H324" s="18" t="s">
        <v>104</v>
      </c>
      <c r="I324" s="17" t="str">
        <f t="shared" si="9"/>
        <v>N-Grupos</v>
      </c>
    </row>
    <row r="325" spans="1:9" x14ac:dyDescent="0.2">
      <c r="A325" s="16"/>
      <c r="B325" s="16">
        <v>2008</v>
      </c>
      <c r="C325" s="16">
        <v>1</v>
      </c>
      <c r="D325" s="16">
        <v>2</v>
      </c>
      <c r="E325" s="16">
        <v>15</v>
      </c>
      <c r="F325" s="17" t="s">
        <v>74</v>
      </c>
      <c r="G325" s="18" t="s">
        <v>15</v>
      </c>
      <c r="H325" s="18" t="s">
        <v>104</v>
      </c>
      <c r="I325" s="17" t="str">
        <f t="shared" si="9"/>
        <v>N-Grupos</v>
      </c>
    </row>
    <row r="326" spans="1:9" x14ac:dyDescent="0.2">
      <c r="A326" s="16"/>
      <c r="B326" s="16">
        <v>2008</v>
      </c>
      <c r="C326" s="16">
        <v>1</v>
      </c>
      <c r="D326" s="16">
        <v>2</v>
      </c>
      <c r="E326" s="16">
        <v>16</v>
      </c>
      <c r="F326" s="17" t="s">
        <v>75</v>
      </c>
      <c r="G326" s="18" t="s">
        <v>15</v>
      </c>
      <c r="H326" s="18" t="s">
        <v>104</v>
      </c>
      <c r="I326" s="17" t="str">
        <f t="shared" si="9"/>
        <v>N-Grupos</v>
      </c>
    </row>
    <row r="327" spans="1:9" x14ac:dyDescent="0.2">
      <c r="A327" s="16"/>
      <c r="B327" s="16">
        <v>2008</v>
      </c>
      <c r="C327" s="16">
        <v>1</v>
      </c>
      <c r="D327" s="16">
        <v>2</v>
      </c>
      <c r="E327" s="16">
        <v>17</v>
      </c>
      <c r="F327" s="17" t="s">
        <v>75</v>
      </c>
      <c r="G327" s="18" t="s">
        <v>15</v>
      </c>
      <c r="H327" s="18" t="s">
        <v>104</v>
      </c>
      <c r="I327" s="17" t="str">
        <f t="shared" si="9"/>
        <v>N-Grupos</v>
      </c>
    </row>
    <row r="328" spans="1:9" x14ac:dyDescent="0.2">
      <c r="A328" s="16"/>
      <c r="B328" s="16">
        <v>2008</v>
      </c>
      <c r="C328" s="16">
        <v>1</v>
      </c>
      <c r="D328" s="16">
        <v>2</v>
      </c>
      <c r="E328" s="16">
        <v>18</v>
      </c>
      <c r="F328" s="17" t="s">
        <v>75</v>
      </c>
      <c r="G328" s="18" t="s">
        <v>15</v>
      </c>
      <c r="H328" s="18" t="s">
        <v>104</v>
      </c>
      <c r="I328" s="17" t="str">
        <f t="shared" si="9"/>
        <v>N-Grupos</v>
      </c>
    </row>
    <row r="329" spans="1:9" x14ac:dyDescent="0.2">
      <c r="A329" s="16"/>
      <c r="B329" s="16">
        <v>2008</v>
      </c>
      <c r="C329" s="16">
        <v>1</v>
      </c>
      <c r="D329" s="16">
        <v>2</v>
      </c>
      <c r="E329" s="16">
        <v>19</v>
      </c>
      <c r="F329" s="17" t="s">
        <v>75</v>
      </c>
      <c r="G329" s="18" t="s">
        <v>15</v>
      </c>
      <c r="H329" s="18" t="s">
        <v>104</v>
      </c>
      <c r="I329" s="17" t="str">
        <f t="shared" si="9"/>
        <v>N-Grupos</v>
      </c>
    </row>
    <row r="330" spans="1:9" x14ac:dyDescent="0.2">
      <c r="A330" s="16"/>
      <c r="B330" s="16">
        <v>2008</v>
      </c>
      <c r="C330" s="16">
        <v>1</v>
      </c>
      <c r="D330" s="16">
        <v>2</v>
      </c>
      <c r="E330" s="16">
        <v>20</v>
      </c>
      <c r="F330" s="17" t="s">
        <v>75</v>
      </c>
      <c r="G330" s="18" t="s">
        <v>15</v>
      </c>
      <c r="H330" s="18" t="s">
        <v>104</v>
      </c>
      <c r="I330" s="17" t="str">
        <f t="shared" si="9"/>
        <v>N-Grupos</v>
      </c>
    </row>
    <row r="331" spans="1:9" x14ac:dyDescent="0.2">
      <c r="A331" s="16"/>
      <c r="B331" s="16">
        <v>2008</v>
      </c>
      <c r="C331" s="16">
        <v>1</v>
      </c>
      <c r="D331" s="16">
        <v>2</v>
      </c>
      <c r="E331" s="16">
        <v>21</v>
      </c>
      <c r="F331" s="17" t="s">
        <v>76</v>
      </c>
      <c r="G331" s="23" t="s">
        <v>18</v>
      </c>
      <c r="H331" s="23" t="s">
        <v>102</v>
      </c>
      <c r="I331" s="17" t="str">
        <f t="shared" si="9"/>
        <v>Linear</v>
      </c>
    </row>
    <row r="332" spans="1:9" x14ac:dyDescent="0.2">
      <c r="A332" s="16"/>
      <c r="B332" s="16">
        <v>2008</v>
      </c>
      <c r="C332" s="16">
        <v>1</v>
      </c>
      <c r="D332" s="16">
        <v>2</v>
      </c>
      <c r="E332" s="16">
        <v>22</v>
      </c>
      <c r="F332" s="17" t="s">
        <v>76</v>
      </c>
      <c r="G332" s="22" t="s">
        <v>15</v>
      </c>
      <c r="H332" s="22" t="s">
        <v>108</v>
      </c>
      <c r="I332" s="17" t="str">
        <f t="shared" si="9"/>
        <v>1 Grupo</v>
      </c>
    </row>
    <row r="333" spans="1:9" x14ac:dyDescent="0.2">
      <c r="A333" s="16"/>
      <c r="B333" s="16">
        <v>2008</v>
      </c>
      <c r="C333" s="16">
        <v>1</v>
      </c>
      <c r="D333" s="16">
        <v>2</v>
      </c>
      <c r="E333" s="16">
        <v>23</v>
      </c>
      <c r="F333" s="17" t="s">
        <v>76</v>
      </c>
      <c r="G333" s="22" t="s">
        <v>15</v>
      </c>
      <c r="H333" s="22" t="s">
        <v>108</v>
      </c>
      <c r="I333" s="17" t="str">
        <f t="shared" si="9"/>
        <v>1 Grupo</v>
      </c>
    </row>
    <row r="334" spans="1:9" x14ac:dyDescent="0.2">
      <c r="A334" s="16"/>
      <c r="B334" s="16">
        <v>2008</v>
      </c>
      <c r="C334" s="16">
        <v>1</v>
      </c>
      <c r="D334" s="16">
        <v>2</v>
      </c>
      <c r="E334" s="16">
        <v>24</v>
      </c>
      <c r="F334" s="17" t="s">
        <v>76</v>
      </c>
      <c r="G334" s="23" t="s">
        <v>18</v>
      </c>
      <c r="H334" s="23" t="s">
        <v>102</v>
      </c>
      <c r="I334" s="17" t="str">
        <f t="shared" si="9"/>
        <v>Linear</v>
      </c>
    </row>
    <row r="335" spans="1:9" x14ac:dyDescent="0.2">
      <c r="A335" s="16"/>
      <c r="B335" s="16">
        <v>2008</v>
      </c>
      <c r="C335" s="16">
        <v>1</v>
      </c>
      <c r="D335" s="16">
        <v>2</v>
      </c>
      <c r="E335" s="16">
        <v>25</v>
      </c>
      <c r="F335" s="17" t="s">
        <v>76</v>
      </c>
      <c r="G335" s="23" t="s">
        <v>18</v>
      </c>
      <c r="H335" s="23" t="s">
        <v>102</v>
      </c>
      <c r="I335" s="17" t="str">
        <f t="shared" si="9"/>
        <v>Linear</v>
      </c>
    </row>
    <row r="336" spans="1:9" x14ac:dyDescent="0.2">
      <c r="A336" s="16"/>
      <c r="B336" s="16">
        <v>2008</v>
      </c>
      <c r="C336" s="16">
        <v>2</v>
      </c>
      <c r="D336" s="16">
        <v>2</v>
      </c>
      <c r="E336" s="16">
        <v>1</v>
      </c>
      <c r="F336" s="17" t="s">
        <v>72</v>
      </c>
      <c r="G336" s="18" t="s">
        <v>18</v>
      </c>
      <c r="H336" s="18" t="s">
        <v>102</v>
      </c>
      <c r="I336" s="17" t="str">
        <f t="shared" si="9"/>
        <v>Linear</v>
      </c>
    </row>
    <row r="337" spans="1:9" x14ac:dyDescent="0.2">
      <c r="A337" s="16"/>
      <c r="B337" s="16">
        <v>2008</v>
      </c>
      <c r="C337" s="16">
        <v>2</v>
      </c>
      <c r="D337" s="16">
        <v>2</v>
      </c>
      <c r="E337" s="16">
        <v>2</v>
      </c>
      <c r="F337" s="17" t="s">
        <v>72</v>
      </c>
      <c r="G337" s="18" t="s">
        <v>18</v>
      </c>
      <c r="H337" s="18" t="s">
        <v>102</v>
      </c>
      <c r="I337" s="17" t="str">
        <f t="shared" si="9"/>
        <v>Linear</v>
      </c>
    </row>
    <row r="338" spans="1:9" x14ac:dyDescent="0.2">
      <c r="A338" s="16"/>
      <c r="B338" s="16">
        <v>2008</v>
      </c>
      <c r="C338" s="16">
        <v>2</v>
      </c>
      <c r="D338" s="16">
        <v>2</v>
      </c>
      <c r="E338" s="16">
        <v>3</v>
      </c>
      <c r="F338" s="17" t="s">
        <v>72</v>
      </c>
      <c r="G338" s="18" t="s">
        <v>18</v>
      </c>
      <c r="H338" s="18" t="s">
        <v>102</v>
      </c>
      <c r="I338" s="17" t="str">
        <f t="shared" si="9"/>
        <v>Linear</v>
      </c>
    </row>
    <row r="339" spans="1:9" x14ac:dyDescent="0.2">
      <c r="A339" s="16"/>
      <c r="B339" s="16">
        <v>2008</v>
      </c>
      <c r="C339" s="16">
        <v>2</v>
      </c>
      <c r="D339" s="16">
        <v>2</v>
      </c>
      <c r="E339" s="16">
        <v>4</v>
      </c>
      <c r="F339" s="17" t="s">
        <v>72</v>
      </c>
      <c r="G339" s="18" t="s">
        <v>18</v>
      </c>
      <c r="H339" s="18" t="s">
        <v>102</v>
      </c>
      <c r="I339" s="17" t="str">
        <f t="shared" si="9"/>
        <v>Linear</v>
      </c>
    </row>
    <row r="340" spans="1:9" x14ac:dyDescent="0.2">
      <c r="A340" s="16"/>
      <c r="B340" s="16">
        <v>2008</v>
      </c>
      <c r="C340" s="16">
        <v>2</v>
      </c>
      <c r="D340" s="16">
        <v>2</v>
      </c>
      <c r="E340" s="16">
        <v>5</v>
      </c>
      <c r="F340" s="17" t="s">
        <v>72</v>
      </c>
      <c r="G340" s="18" t="s">
        <v>18</v>
      </c>
      <c r="H340" s="18" t="s">
        <v>102</v>
      </c>
      <c r="I340" s="17" t="str">
        <f t="shared" si="9"/>
        <v>Linear</v>
      </c>
    </row>
    <row r="341" spans="1:9" x14ac:dyDescent="0.2">
      <c r="A341" s="16"/>
      <c r="B341" s="16">
        <v>2008</v>
      </c>
      <c r="C341" s="16">
        <v>2</v>
      </c>
      <c r="D341" s="16">
        <v>2</v>
      </c>
      <c r="E341" s="16">
        <v>6</v>
      </c>
      <c r="F341" s="17" t="s">
        <v>55</v>
      </c>
      <c r="G341" s="22" t="s">
        <v>15</v>
      </c>
      <c r="H341" s="22" t="s">
        <v>104</v>
      </c>
      <c r="I341" s="17" t="str">
        <f t="shared" si="9"/>
        <v>N-Grupos</v>
      </c>
    </row>
    <row r="342" spans="1:9" x14ac:dyDescent="0.2">
      <c r="A342" s="16"/>
      <c r="B342" s="16">
        <v>2008</v>
      </c>
      <c r="C342" s="16">
        <v>2</v>
      </c>
      <c r="D342" s="16">
        <v>2</v>
      </c>
      <c r="E342" s="16">
        <v>7</v>
      </c>
      <c r="F342" s="17" t="s">
        <v>55</v>
      </c>
      <c r="G342" s="22" t="s">
        <v>15</v>
      </c>
      <c r="H342" s="22" t="s">
        <v>104</v>
      </c>
      <c r="I342" s="17" t="str">
        <f t="shared" si="9"/>
        <v>N-Grupos</v>
      </c>
    </row>
    <row r="343" spans="1:9" x14ac:dyDescent="0.2">
      <c r="A343" s="16"/>
      <c r="B343" s="16">
        <v>2008</v>
      </c>
      <c r="C343" s="16">
        <v>2</v>
      </c>
      <c r="D343" s="16">
        <v>2</v>
      </c>
      <c r="E343" s="16">
        <v>8</v>
      </c>
      <c r="F343" s="17" t="s">
        <v>55</v>
      </c>
      <c r="G343" s="22" t="s">
        <v>15</v>
      </c>
      <c r="H343" s="22" t="s">
        <v>104</v>
      </c>
      <c r="I343" s="17" t="str">
        <f t="shared" si="9"/>
        <v>N-Grupos</v>
      </c>
    </row>
    <row r="344" spans="1:9" x14ac:dyDescent="0.2">
      <c r="A344" s="16"/>
      <c r="B344" s="16">
        <v>2008</v>
      </c>
      <c r="C344" s="16">
        <v>2</v>
      </c>
      <c r="D344" s="16">
        <v>2</v>
      </c>
      <c r="E344" s="16">
        <v>9</v>
      </c>
      <c r="F344" s="17" t="s">
        <v>55</v>
      </c>
      <c r="G344" s="22" t="s">
        <v>15</v>
      </c>
      <c r="H344" s="22" t="s">
        <v>104</v>
      </c>
      <c r="I344" s="17" t="str">
        <f t="shared" si="9"/>
        <v>N-Grupos</v>
      </c>
    </row>
    <row r="345" spans="1:9" x14ac:dyDescent="0.2">
      <c r="A345" s="16"/>
      <c r="B345" s="16">
        <v>2008</v>
      </c>
      <c r="C345" s="16">
        <v>2</v>
      </c>
      <c r="D345" s="16">
        <v>2</v>
      </c>
      <c r="E345" s="16">
        <v>10</v>
      </c>
      <c r="F345" s="17" t="s">
        <v>55</v>
      </c>
      <c r="G345" s="22" t="s">
        <v>15</v>
      </c>
      <c r="H345" s="22" t="s">
        <v>104</v>
      </c>
      <c r="I345" s="17" t="str">
        <f t="shared" si="9"/>
        <v>N-Grupos</v>
      </c>
    </row>
    <row r="346" spans="1:9" x14ac:dyDescent="0.2">
      <c r="A346" s="16"/>
      <c r="B346" s="16">
        <v>2008</v>
      </c>
      <c r="C346" s="16">
        <v>2</v>
      </c>
      <c r="D346" s="16">
        <v>2</v>
      </c>
      <c r="E346" s="16">
        <v>11</v>
      </c>
      <c r="F346" s="17" t="s">
        <v>77</v>
      </c>
      <c r="G346" s="18" t="s">
        <v>15</v>
      </c>
      <c r="H346" s="18" t="s">
        <v>104</v>
      </c>
      <c r="I346" s="17" t="str">
        <f t="shared" si="9"/>
        <v>N-Grupos</v>
      </c>
    </row>
    <row r="347" spans="1:9" x14ac:dyDescent="0.2">
      <c r="A347" s="16"/>
      <c r="B347" s="16">
        <v>2008</v>
      </c>
      <c r="C347" s="16">
        <v>2</v>
      </c>
      <c r="D347" s="16">
        <v>2</v>
      </c>
      <c r="E347" s="16">
        <v>12</v>
      </c>
      <c r="F347" s="17" t="s">
        <v>77</v>
      </c>
      <c r="G347" s="18" t="s">
        <v>15</v>
      </c>
      <c r="H347" s="18" t="s">
        <v>104</v>
      </c>
      <c r="I347" s="17" t="str">
        <f t="shared" si="9"/>
        <v>N-Grupos</v>
      </c>
    </row>
    <row r="348" spans="1:9" x14ac:dyDescent="0.2">
      <c r="A348" s="16"/>
      <c r="B348" s="16">
        <v>2008</v>
      </c>
      <c r="C348" s="16">
        <v>2</v>
      </c>
      <c r="D348" s="16">
        <v>2</v>
      </c>
      <c r="E348" s="16">
        <v>13</v>
      </c>
      <c r="F348" s="17" t="s">
        <v>77</v>
      </c>
      <c r="G348" s="18" t="s">
        <v>15</v>
      </c>
      <c r="H348" s="18" t="s">
        <v>104</v>
      </c>
      <c r="I348" s="17" t="str">
        <f t="shared" si="9"/>
        <v>N-Grupos</v>
      </c>
    </row>
    <row r="349" spans="1:9" x14ac:dyDescent="0.2">
      <c r="A349" s="16"/>
      <c r="B349" s="16">
        <v>2008</v>
      </c>
      <c r="C349" s="16">
        <v>2</v>
      </c>
      <c r="D349" s="16">
        <v>2</v>
      </c>
      <c r="E349" s="16">
        <v>14</v>
      </c>
      <c r="F349" s="17" t="s">
        <v>77</v>
      </c>
      <c r="G349" s="18" t="s">
        <v>15</v>
      </c>
      <c r="H349" s="18" t="s">
        <v>104</v>
      </c>
      <c r="I349" s="17" t="str">
        <f t="shared" si="9"/>
        <v>N-Grupos</v>
      </c>
    </row>
    <row r="350" spans="1:9" x14ac:dyDescent="0.2">
      <c r="A350" s="16"/>
      <c r="B350" s="16">
        <v>2008</v>
      </c>
      <c r="C350" s="16">
        <v>2</v>
      </c>
      <c r="D350" s="16">
        <v>2</v>
      </c>
      <c r="E350" s="16">
        <v>15</v>
      </c>
      <c r="F350" s="17" t="s">
        <v>77</v>
      </c>
      <c r="G350" s="18" t="s">
        <v>15</v>
      </c>
      <c r="H350" s="18" t="s">
        <v>104</v>
      </c>
      <c r="I350" s="17" t="str">
        <f t="shared" si="9"/>
        <v>N-Grupos</v>
      </c>
    </row>
    <row r="351" spans="1:9" x14ac:dyDescent="0.2">
      <c r="A351" s="16"/>
      <c r="B351" s="16">
        <v>2008</v>
      </c>
      <c r="C351" s="16">
        <v>2</v>
      </c>
      <c r="D351" s="16">
        <v>2</v>
      </c>
      <c r="E351" s="16">
        <v>16</v>
      </c>
      <c r="F351" s="17" t="s">
        <v>78</v>
      </c>
      <c r="G351" s="18" t="s">
        <v>15</v>
      </c>
      <c r="H351" s="18" t="s">
        <v>104</v>
      </c>
      <c r="I351" s="17" t="str">
        <f t="shared" si="9"/>
        <v>N-Grupos</v>
      </c>
    </row>
    <row r="352" spans="1:9" x14ac:dyDescent="0.2">
      <c r="A352" s="16"/>
      <c r="B352" s="16">
        <v>2008</v>
      </c>
      <c r="C352" s="16">
        <v>2</v>
      </c>
      <c r="D352" s="16">
        <v>2</v>
      </c>
      <c r="E352" s="16">
        <v>17</v>
      </c>
      <c r="F352" s="17" t="s">
        <v>78</v>
      </c>
      <c r="G352" s="18" t="s">
        <v>15</v>
      </c>
      <c r="H352" s="18" t="s">
        <v>104</v>
      </c>
      <c r="I352" s="17" t="str">
        <f t="shared" si="9"/>
        <v>N-Grupos</v>
      </c>
    </row>
    <row r="353" spans="1:9" x14ac:dyDescent="0.2">
      <c r="A353" s="16"/>
      <c r="B353" s="16">
        <v>2008</v>
      </c>
      <c r="C353" s="16">
        <v>2</v>
      </c>
      <c r="D353" s="16">
        <v>2</v>
      </c>
      <c r="E353" s="16">
        <v>18</v>
      </c>
      <c r="F353" s="17" t="s">
        <v>78</v>
      </c>
      <c r="G353" s="18" t="s">
        <v>15</v>
      </c>
      <c r="H353" s="18" t="s">
        <v>104</v>
      </c>
      <c r="I353" s="17" t="str">
        <f t="shared" si="9"/>
        <v>N-Grupos</v>
      </c>
    </row>
    <row r="354" spans="1:9" x14ac:dyDescent="0.2">
      <c r="A354" s="16"/>
      <c r="B354" s="16">
        <v>2008</v>
      </c>
      <c r="C354" s="16">
        <v>2</v>
      </c>
      <c r="D354" s="16">
        <v>2</v>
      </c>
      <c r="E354" s="16">
        <v>19</v>
      </c>
      <c r="F354" s="17" t="s">
        <v>78</v>
      </c>
      <c r="G354" s="18" t="s">
        <v>15</v>
      </c>
      <c r="H354" s="18" t="s">
        <v>104</v>
      </c>
      <c r="I354" s="17" t="str">
        <f t="shared" si="9"/>
        <v>N-Grupos</v>
      </c>
    </row>
    <row r="355" spans="1:9" x14ac:dyDescent="0.2">
      <c r="A355" s="16"/>
      <c r="B355" s="16">
        <v>2008</v>
      </c>
      <c r="C355" s="16">
        <v>2</v>
      </c>
      <c r="D355" s="16">
        <v>2</v>
      </c>
      <c r="E355" s="16">
        <v>20</v>
      </c>
      <c r="F355" s="17" t="s">
        <v>78</v>
      </c>
      <c r="G355" s="18" t="s">
        <v>15</v>
      </c>
      <c r="H355" s="18" t="s">
        <v>104</v>
      </c>
      <c r="I355" s="17" t="str">
        <f t="shared" si="9"/>
        <v>N-Grupos</v>
      </c>
    </row>
    <row r="356" spans="1:9" x14ac:dyDescent="0.2">
      <c r="A356" s="16"/>
      <c r="B356" s="16">
        <v>2008</v>
      </c>
      <c r="C356" s="16">
        <v>2</v>
      </c>
      <c r="D356" s="16">
        <v>2</v>
      </c>
      <c r="E356" s="16">
        <v>21</v>
      </c>
      <c r="F356" s="17" t="s">
        <v>79</v>
      </c>
      <c r="G356" s="18" t="s">
        <v>18</v>
      </c>
      <c r="H356" s="18" t="s">
        <v>102</v>
      </c>
      <c r="I356" s="17" t="str">
        <f t="shared" si="9"/>
        <v>Linear</v>
      </c>
    </row>
    <row r="357" spans="1:9" x14ac:dyDescent="0.2">
      <c r="A357" s="16"/>
      <c r="B357" s="16">
        <v>2008</v>
      </c>
      <c r="C357" s="16">
        <v>2</v>
      </c>
      <c r="D357" s="16">
        <v>2</v>
      </c>
      <c r="E357" s="16">
        <v>22</v>
      </c>
      <c r="F357" s="17" t="s">
        <v>79</v>
      </c>
      <c r="G357" s="22" t="s">
        <v>15</v>
      </c>
      <c r="H357" s="22" t="s">
        <v>108</v>
      </c>
      <c r="I357" s="17" t="str">
        <f t="shared" si="9"/>
        <v>1 Grupo</v>
      </c>
    </row>
    <row r="358" spans="1:9" x14ac:dyDescent="0.2">
      <c r="A358" s="16"/>
      <c r="B358" s="16">
        <v>2008</v>
      </c>
      <c r="C358" s="16">
        <v>2</v>
      </c>
      <c r="D358" s="16">
        <v>2</v>
      </c>
      <c r="E358" s="16">
        <v>23</v>
      </c>
      <c r="F358" s="17" t="s">
        <v>79</v>
      </c>
      <c r="G358" s="22" t="s">
        <v>15</v>
      </c>
      <c r="H358" s="22" t="s">
        <v>108</v>
      </c>
      <c r="I358" s="17" t="str">
        <f t="shared" si="9"/>
        <v>1 Grupo</v>
      </c>
    </row>
    <row r="359" spans="1:9" x14ac:dyDescent="0.2">
      <c r="A359" s="16"/>
      <c r="B359" s="16">
        <v>2008</v>
      </c>
      <c r="C359" s="16">
        <v>2</v>
      </c>
      <c r="D359" s="16">
        <v>2</v>
      </c>
      <c r="E359" s="16">
        <v>24</v>
      </c>
      <c r="F359" s="17" t="s">
        <v>79</v>
      </c>
      <c r="G359" s="22" t="s">
        <v>15</v>
      </c>
      <c r="H359" s="22" t="s">
        <v>108</v>
      </c>
      <c r="I359" s="17" t="str">
        <f t="shared" si="9"/>
        <v>1 Grupo</v>
      </c>
    </row>
    <row r="360" spans="1:9" x14ac:dyDescent="0.2">
      <c r="A360" s="16"/>
      <c r="B360" s="16">
        <v>2008</v>
      </c>
      <c r="C360" s="16">
        <v>2</v>
      </c>
      <c r="D360" s="16">
        <v>2</v>
      </c>
      <c r="E360" s="16">
        <v>25</v>
      </c>
      <c r="F360" s="17" t="s">
        <v>79</v>
      </c>
      <c r="G360" s="22" t="s">
        <v>15</v>
      </c>
      <c r="H360" s="22" t="s">
        <v>108</v>
      </c>
      <c r="I360" s="17" t="str">
        <f t="shared" si="9"/>
        <v>1 Grupo</v>
      </c>
    </row>
    <row r="361" spans="1:9" x14ac:dyDescent="0.2">
      <c r="A361" s="16"/>
      <c r="B361" s="16">
        <v>2009</v>
      </c>
      <c r="C361" s="16">
        <v>1</v>
      </c>
      <c r="D361" s="16">
        <v>1</v>
      </c>
      <c r="E361" s="16">
        <v>1</v>
      </c>
      <c r="F361" s="17" t="s">
        <v>80</v>
      </c>
      <c r="G361" s="23" t="s">
        <v>15</v>
      </c>
      <c r="H361" s="23" t="s">
        <v>104</v>
      </c>
      <c r="I361" s="17" t="str">
        <f t="shared" si="9"/>
        <v>N-Grupos</v>
      </c>
    </row>
    <row r="362" spans="1:9" x14ac:dyDescent="0.2">
      <c r="A362" s="16"/>
      <c r="B362" s="16">
        <v>2009</v>
      </c>
      <c r="C362" s="16">
        <v>1</v>
      </c>
      <c r="D362" s="16">
        <v>1</v>
      </c>
      <c r="E362" s="16">
        <v>2</v>
      </c>
      <c r="F362" s="17" t="s">
        <v>80</v>
      </c>
      <c r="G362" s="23" t="s">
        <v>15</v>
      </c>
      <c r="H362" s="23" t="s">
        <v>104</v>
      </c>
      <c r="I362" s="17" t="str">
        <f t="shared" si="9"/>
        <v>N-Grupos</v>
      </c>
    </row>
    <row r="363" spans="1:9" x14ac:dyDescent="0.2">
      <c r="A363" s="16"/>
      <c r="B363" s="16">
        <v>2009</v>
      </c>
      <c r="C363" s="16">
        <v>1</v>
      </c>
      <c r="D363" s="16">
        <v>1</v>
      </c>
      <c r="E363" s="16">
        <v>3</v>
      </c>
      <c r="F363" s="17" t="s">
        <v>80</v>
      </c>
      <c r="G363" s="23" t="s">
        <v>15</v>
      </c>
      <c r="H363" s="23" t="s">
        <v>104</v>
      </c>
      <c r="I363" s="17" t="str">
        <f t="shared" si="9"/>
        <v>N-Grupos</v>
      </c>
    </row>
    <row r="364" spans="1:9" x14ac:dyDescent="0.2">
      <c r="A364" s="16"/>
      <c r="B364" s="16">
        <v>2009</v>
      </c>
      <c r="C364" s="16">
        <v>1</v>
      </c>
      <c r="D364" s="16">
        <v>1</v>
      </c>
      <c r="E364" s="16">
        <v>4</v>
      </c>
      <c r="F364" s="17" t="s">
        <v>80</v>
      </c>
      <c r="G364" s="23" t="s">
        <v>15</v>
      </c>
      <c r="H364" s="23" t="s">
        <v>104</v>
      </c>
      <c r="I364" s="17" t="str">
        <f t="shared" si="9"/>
        <v>N-Grupos</v>
      </c>
    </row>
    <row r="365" spans="1:9" x14ac:dyDescent="0.2">
      <c r="A365" s="16"/>
      <c r="B365" s="16">
        <v>2009</v>
      </c>
      <c r="C365" s="16">
        <v>1</v>
      </c>
      <c r="D365" s="16">
        <v>1</v>
      </c>
      <c r="E365" s="16">
        <v>5</v>
      </c>
      <c r="F365" s="17" t="s">
        <v>80</v>
      </c>
      <c r="G365" s="23" t="s">
        <v>15</v>
      </c>
      <c r="H365" s="23" t="s">
        <v>104</v>
      </c>
      <c r="I365" s="17" t="str">
        <f t="shared" si="9"/>
        <v>N-Grupos</v>
      </c>
    </row>
    <row r="366" spans="1:9" x14ac:dyDescent="0.2">
      <c r="A366" s="16"/>
      <c r="B366" s="16">
        <v>2009</v>
      </c>
      <c r="C366" s="16">
        <v>1</v>
      </c>
      <c r="D366" s="16">
        <v>1</v>
      </c>
      <c r="E366" s="16">
        <v>6</v>
      </c>
      <c r="F366" s="17" t="s">
        <v>81</v>
      </c>
      <c r="G366" s="18" t="s">
        <v>98</v>
      </c>
      <c r="H366" s="18" t="s">
        <v>100</v>
      </c>
      <c r="I366" s="17" t="str">
        <f t="shared" si="9"/>
        <v>Cálculo</v>
      </c>
    </row>
    <row r="367" spans="1:9" x14ac:dyDescent="0.2">
      <c r="A367" s="16"/>
      <c r="B367" s="16">
        <v>2009</v>
      </c>
      <c r="C367" s="16">
        <v>1</v>
      </c>
      <c r="D367" s="16">
        <v>1</v>
      </c>
      <c r="E367" s="16">
        <v>7</v>
      </c>
      <c r="F367" s="17" t="s">
        <v>81</v>
      </c>
      <c r="G367" s="18" t="s">
        <v>98</v>
      </c>
      <c r="H367" s="18" t="s">
        <v>100</v>
      </c>
      <c r="I367" s="17" t="str">
        <f t="shared" si="9"/>
        <v>Cálculo</v>
      </c>
    </row>
    <row r="368" spans="1:9" x14ac:dyDescent="0.2">
      <c r="A368" s="16"/>
      <c r="B368" s="16">
        <v>2009</v>
      </c>
      <c r="C368" s="16">
        <v>1</v>
      </c>
      <c r="D368" s="16">
        <v>1</v>
      </c>
      <c r="E368" s="16">
        <v>8</v>
      </c>
      <c r="F368" s="17" t="s">
        <v>81</v>
      </c>
      <c r="G368" s="18" t="s">
        <v>98</v>
      </c>
      <c r="H368" s="18" t="s">
        <v>100</v>
      </c>
      <c r="I368" s="17" t="str">
        <f t="shared" si="9"/>
        <v>Cálculo</v>
      </c>
    </row>
    <row r="369" spans="1:9" x14ac:dyDescent="0.2">
      <c r="A369" s="16"/>
      <c r="B369" s="16">
        <v>2009</v>
      </c>
      <c r="C369" s="16">
        <v>1</v>
      </c>
      <c r="D369" s="16">
        <v>1</v>
      </c>
      <c r="E369" s="16">
        <v>9</v>
      </c>
      <c r="F369" s="17" t="s">
        <v>81</v>
      </c>
      <c r="G369" s="18" t="s">
        <v>98</v>
      </c>
      <c r="H369" s="18" t="s">
        <v>100</v>
      </c>
      <c r="I369" s="17" t="str">
        <f t="shared" si="9"/>
        <v>Cálculo</v>
      </c>
    </row>
    <row r="370" spans="1:9" x14ac:dyDescent="0.2">
      <c r="A370" s="16"/>
      <c r="B370" s="16">
        <v>2009</v>
      </c>
      <c r="C370" s="16">
        <v>1</v>
      </c>
      <c r="D370" s="16">
        <v>1</v>
      </c>
      <c r="E370" s="16">
        <v>10</v>
      </c>
      <c r="F370" s="17" t="s">
        <v>81</v>
      </c>
      <c r="G370" s="18" t="s">
        <v>98</v>
      </c>
      <c r="H370" s="18" t="s">
        <v>100</v>
      </c>
      <c r="I370" s="17" t="str">
        <f t="shared" si="9"/>
        <v>Cálculo</v>
      </c>
    </row>
    <row r="371" spans="1:9" x14ac:dyDescent="0.2">
      <c r="A371" s="16"/>
      <c r="B371" s="16">
        <v>2009</v>
      </c>
      <c r="C371" s="16">
        <v>1</v>
      </c>
      <c r="D371" s="16">
        <v>1</v>
      </c>
      <c r="E371" s="16">
        <v>11</v>
      </c>
      <c r="F371" s="17" t="s">
        <v>82</v>
      </c>
      <c r="G371" s="18" t="s">
        <v>15</v>
      </c>
      <c r="H371" s="18" t="s">
        <v>104</v>
      </c>
      <c r="I371" s="17" t="str">
        <f t="shared" si="9"/>
        <v>N-Grupos</v>
      </c>
    </row>
    <row r="372" spans="1:9" x14ac:dyDescent="0.2">
      <c r="A372" s="16"/>
      <c r="B372" s="16">
        <v>2009</v>
      </c>
      <c r="C372" s="16">
        <v>1</v>
      </c>
      <c r="D372" s="16">
        <v>1</v>
      </c>
      <c r="E372" s="16">
        <v>12</v>
      </c>
      <c r="F372" s="17" t="s">
        <v>82</v>
      </c>
      <c r="G372" s="18" t="s">
        <v>15</v>
      </c>
      <c r="H372" s="18" t="s">
        <v>104</v>
      </c>
      <c r="I372" s="17" t="str">
        <f t="shared" si="9"/>
        <v>N-Grupos</v>
      </c>
    </row>
    <row r="373" spans="1:9" x14ac:dyDescent="0.2">
      <c r="A373" s="16"/>
      <c r="B373" s="16">
        <v>2009</v>
      </c>
      <c r="C373" s="16">
        <v>1</v>
      </c>
      <c r="D373" s="16">
        <v>1</v>
      </c>
      <c r="E373" s="16">
        <v>13</v>
      </c>
      <c r="F373" s="17" t="s">
        <v>82</v>
      </c>
      <c r="G373" s="18" t="s">
        <v>15</v>
      </c>
      <c r="H373" s="18" t="s">
        <v>104</v>
      </c>
      <c r="I373" s="17" t="str">
        <f t="shared" si="9"/>
        <v>N-Grupos</v>
      </c>
    </row>
    <row r="374" spans="1:9" x14ac:dyDescent="0.2">
      <c r="A374" s="16"/>
      <c r="B374" s="16">
        <v>2009</v>
      </c>
      <c r="C374" s="16">
        <v>1</v>
      </c>
      <c r="D374" s="16">
        <v>1</v>
      </c>
      <c r="E374" s="16">
        <v>14</v>
      </c>
      <c r="F374" s="17" t="s">
        <v>82</v>
      </c>
      <c r="G374" s="18" t="s">
        <v>15</v>
      </c>
      <c r="H374" s="18" t="s">
        <v>104</v>
      </c>
      <c r="I374" s="17" t="str">
        <f t="shared" si="9"/>
        <v>N-Grupos</v>
      </c>
    </row>
    <row r="375" spans="1:9" x14ac:dyDescent="0.2">
      <c r="A375" s="16"/>
      <c r="B375" s="16">
        <v>2009</v>
      </c>
      <c r="C375" s="16">
        <v>1</v>
      </c>
      <c r="D375" s="16">
        <v>1</v>
      </c>
      <c r="E375" s="16">
        <v>15</v>
      </c>
      <c r="F375" s="17" t="s">
        <v>82</v>
      </c>
      <c r="G375" s="18" t="s">
        <v>15</v>
      </c>
      <c r="H375" s="18" t="s">
        <v>104</v>
      </c>
      <c r="I375" s="17" t="str">
        <f t="shared" si="9"/>
        <v>N-Grupos</v>
      </c>
    </row>
    <row r="376" spans="1:9" x14ac:dyDescent="0.2">
      <c r="A376" s="16"/>
      <c r="B376" s="16">
        <v>2009</v>
      </c>
      <c r="C376" s="16">
        <v>1</v>
      </c>
      <c r="D376" s="16">
        <v>1</v>
      </c>
      <c r="E376" s="16">
        <v>16</v>
      </c>
      <c r="F376" s="17" t="s">
        <v>83</v>
      </c>
      <c r="G376" s="18" t="s">
        <v>15</v>
      </c>
      <c r="H376" s="18" t="s">
        <v>108</v>
      </c>
      <c r="I376" s="17" t="str">
        <f t="shared" si="9"/>
        <v>1 Grupo</v>
      </c>
    </row>
    <row r="377" spans="1:9" x14ac:dyDescent="0.2">
      <c r="A377" s="16"/>
      <c r="B377" s="16">
        <v>2009</v>
      </c>
      <c r="C377" s="16">
        <v>1</v>
      </c>
      <c r="D377" s="16">
        <v>1</v>
      </c>
      <c r="E377" s="16">
        <v>17</v>
      </c>
      <c r="F377" s="17" t="s">
        <v>83</v>
      </c>
      <c r="G377" s="18" t="s">
        <v>15</v>
      </c>
      <c r="H377" s="18" t="s">
        <v>108</v>
      </c>
      <c r="I377" s="17" t="str">
        <f t="shared" si="9"/>
        <v>1 Grupo</v>
      </c>
    </row>
    <row r="378" spans="1:9" x14ac:dyDescent="0.2">
      <c r="A378" s="16"/>
      <c r="B378" s="16">
        <v>2009</v>
      </c>
      <c r="C378" s="16">
        <v>1</v>
      </c>
      <c r="D378" s="16">
        <v>1</v>
      </c>
      <c r="E378" s="16">
        <v>18</v>
      </c>
      <c r="F378" s="17" t="s">
        <v>83</v>
      </c>
      <c r="G378" s="18" t="s">
        <v>15</v>
      </c>
      <c r="H378" s="18" t="s">
        <v>108</v>
      </c>
      <c r="I378" s="17" t="str">
        <f t="shared" si="9"/>
        <v>1 Grupo</v>
      </c>
    </row>
    <row r="379" spans="1:9" x14ac:dyDescent="0.2">
      <c r="A379" s="16"/>
      <c r="B379" s="16">
        <v>2009</v>
      </c>
      <c r="C379" s="16">
        <v>1</v>
      </c>
      <c r="D379" s="16">
        <v>1</v>
      </c>
      <c r="E379" s="16">
        <v>19</v>
      </c>
      <c r="F379" s="17" t="s">
        <v>83</v>
      </c>
      <c r="G379" s="18" t="s">
        <v>15</v>
      </c>
      <c r="H379" s="18" t="s">
        <v>108</v>
      </c>
      <c r="I379" s="17" t="str">
        <f t="shared" si="9"/>
        <v>1 Grupo</v>
      </c>
    </row>
    <row r="380" spans="1:9" x14ac:dyDescent="0.2">
      <c r="A380" s="16"/>
      <c r="B380" s="16">
        <v>2009</v>
      </c>
      <c r="C380" s="16">
        <v>1</v>
      </c>
      <c r="D380" s="16">
        <v>1</v>
      </c>
      <c r="E380" s="16">
        <v>20</v>
      </c>
      <c r="F380" s="17" t="s">
        <v>83</v>
      </c>
      <c r="G380" s="18" t="s">
        <v>15</v>
      </c>
      <c r="H380" s="18" t="s">
        <v>108</v>
      </c>
      <c r="I380" s="17" t="str">
        <f t="shared" si="9"/>
        <v>1 Grupo</v>
      </c>
    </row>
    <row r="381" spans="1:9" x14ac:dyDescent="0.2">
      <c r="A381" s="16"/>
      <c r="B381" s="16">
        <v>2009</v>
      </c>
      <c r="C381" s="16">
        <v>1</v>
      </c>
      <c r="D381" s="16">
        <v>2</v>
      </c>
      <c r="E381" s="16">
        <v>1</v>
      </c>
      <c r="F381" s="17" t="s">
        <v>84</v>
      </c>
      <c r="G381" s="18" t="s">
        <v>18</v>
      </c>
      <c r="H381" s="18" t="s">
        <v>102</v>
      </c>
      <c r="I381" s="17" t="str">
        <f t="shared" si="9"/>
        <v>Linear</v>
      </c>
    </row>
    <row r="382" spans="1:9" x14ac:dyDescent="0.2">
      <c r="A382" s="16"/>
      <c r="B382" s="16">
        <v>2009</v>
      </c>
      <c r="C382" s="16">
        <v>1</v>
      </c>
      <c r="D382" s="16">
        <v>2</v>
      </c>
      <c r="E382" s="16">
        <v>2</v>
      </c>
      <c r="F382" s="17" t="s">
        <v>84</v>
      </c>
      <c r="G382" s="18" t="s">
        <v>18</v>
      </c>
      <c r="H382" s="18" t="s">
        <v>102</v>
      </c>
      <c r="I382" s="17" t="str">
        <f t="shared" si="9"/>
        <v>Linear</v>
      </c>
    </row>
    <row r="383" spans="1:9" x14ac:dyDescent="0.2">
      <c r="A383" s="16"/>
      <c r="B383" s="16">
        <v>2009</v>
      </c>
      <c r="C383" s="16">
        <v>1</v>
      </c>
      <c r="D383" s="16">
        <v>2</v>
      </c>
      <c r="E383" s="16">
        <v>3</v>
      </c>
      <c r="F383" s="17" t="s">
        <v>84</v>
      </c>
      <c r="G383" s="18" t="s">
        <v>18</v>
      </c>
      <c r="H383" s="18" t="s">
        <v>102</v>
      </c>
      <c r="I383" s="17" t="str">
        <f t="shared" si="9"/>
        <v>Linear</v>
      </c>
    </row>
    <row r="384" spans="1:9" x14ac:dyDescent="0.2">
      <c r="A384" s="16"/>
      <c r="B384" s="16">
        <v>2009</v>
      </c>
      <c r="C384" s="16">
        <v>1</v>
      </c>
      <c r="D384" s="16">
        <v>2</v>
      </c>
      <c r="E384" s="16">
        <v>4</v>
      </c>
      <c r="F384" s="17" t="s">
        <v>84</v>
      </c>
      <c r="G384" s="18" t="s">
        <v>18</v>
      </c>
      <c r="H384" s="18" t="s">
        <v>102</v>
      </c>
      <c r="I384" s="17" t="str">
        <f t="shared" si="9"/>
        <v>Linear</v>
      </c>
    </row>
    <row r="385" spans="1:9" x14ac:dyDescent="0.2">
      <c r="A385" s="16"/>
      <c r="B385" s="16">
        <v>2009</v>
      </c>
      <c r="C385" s="16">
        <v>1</v>
      </c>
      <c r="D385" s="16">
        <v>2</v>
      </c>
      <c r="E385" s="16">
        <v>5</v>
      </c>
      <c r="F385" s="17" t="s">
        <v>84</v>
      </c>
      <c r="G385" s="18" t="s">
        <v>18</v>
      </c>
      <c r="H385" s="18" t="s">
        <v>102</v>
      </c>
      <c r="I385" s="17" t="str">
        <f t="shared" si="9"/>
        <v>Linear</v>
      </c>
    </row>
    <row r="386" spans="1:9" x14ac:dyDescent="0.2">
      <c r="A386" s="16"/>
      <c r="B386" s="16">
        <v>2009</v>
      </c>
      <c r="C386" s="16">
        <v>1</v>
      </c>
      <c r="D386" s="16">
        <v>2</v>
      </c>
      <c r="E386" s="16">
        <v>6</v>
      </c>
      <c r="F386" s="17" t="s">
        <v>85</v>
      </c>
      <c r="G386" s="18" t="s">
        <v>18</v>
      </c>
      <c r="H386" s="18" t="s">
        <v>102</v>
      </c>
      <c r="I386" s="17" t="str">
        <f t="shared" si="9"/>
        <v>Linear</v>
      </c>
    </row>
    <row r="387" spans="1:9" x14ac:dyDescent="0.2">
      <c r="A387" s="16"/>
      <c r="B387" s="16">
        <v>2009</v>
      </c>
      <c r="C387" s="16">
        <v>1</v>
      </c>
      <c r="D387" s="16">
        <v>2</v>
      </c>
      <c r="E387" s="16">
        <v>7</v>
      </c>
      <c r="F387" s="17" t="s">
        <v>85</v>
      </c>
      <c r="G387" s="18" t="s">
        <v>18</v>
      </c>
      <c r="H387" s="18" t="s">
        <v>102</v>
      </c>
      <c r="I387" s="17" t="str">
        <f t="shared" si="9"/>
        <v>Linear</v>
      </c>
    </row>
    <row r="388" spans="1:9" x14ac:dyDescent="0.2">
      <c r="A388" s="16"/>
      <c r="B388" s="16">
        <v>2009</v>
      </c>
      <c r="C388" s="16">
        <v>1</v>
      </c>
      <c r="D388" s="16">
        <v>2</v>
      </c>
      <c r="E388" s="16">
        <v>8</v>
      </c>
      <c r="F388" s="17" t="s">
        <v>85</v>
      </c>
      <c r="G388" s="18" t="s">
        <v>18</v>
      </c>
      <c r="H388" s="18" t="s">
        <v>102</v>
      </c>
      <c r="I388" s="17" t="str">
        <f t="shared" si="9"/>
        <v>Linear</v>
      </c>
    </row>
    <row r="389" spans="1:9" x14ac:dyDescent="0.2">
      <c r="A389" s="16"/>
      <c r="B389" s="16">
        <v>2009</v>
      </c>
      <c r="C389" s="16">
        <v>1</v>
      </c>
      <c r="D389" s="16">
        <v>2</v>
      </c>
      <c r="E389" s="16">
        <v>9</v>
      </c>
      <c r="F389" s="17" t="s">
        <v>85</v>
      </c>
      <c r="G389" s="18" t="s">
        <v>18</v>
      </c>
      <c r="H389" s="18" t="s">
        <v>102</v>
      </c>
      <c r="I389" s="17" t="str">
        <f t="shared" si="9"/>
        <v>Linear</v>
      </c>
    </row>
    <row r="390" spans="1:9" x14ac:dyDescent="0.2">
      <c r="A390" s="16"/>
      <c r="B390" s="16">
        <v>2009</v>
      </c>
      <c r="C390" s="16">
        <v>1</v>
      </c>
      <c r="D390" s="16">
        <v>2</v>
      </c>
      <c r="E390" s="16">
        <v>10</v>
      </c>
      <c r="F390" s="17" t="s">
        <v>85</v>
      </c>
      <c r="G390" s="18" t="s">
        <v>18</v>
      </c>
      <c r="H390" s="18" t="s">
        <v>102</v>
      </c>
      <c r="I390" s="17" t="str">
        <f t="shared" si="9"/>
        <v>Linear</v>
      </c>
    </row>
    <row r="391" spans="1:9" x14ac:dyDescent="0.2">
      <c r="A391" s="16"/>
      <c r="B391" s="16">
        <v>2009</v>
      </c>
      <c r="C391" s="16">
        <v>1</v>
      </c>
      <c r="D391" s="16">
        <v>2</v>
      </c>
      <c r="E391" s="16">
        <v>11</v>
      </c>
      <c r="F391" s="17" t="s">
        <v>86</v>
      </c>
      <c r="G391" s="22" t="s">
        <v>15</v>
      </c>
      <c r="H391" s="22" t="s">
        <v>104</v>
      </c>
      <c r="I391" s="17" t="str">
        <f t="shared" si="9"/>
        <v>N-Grupos</v>
      </c>
    </row>
    <row r="392" spans="1:9" x14ac:dyDescent="0.2">
      <c r="A392" s="16"/>
      <c r="B392" s="16">
        <v>2009</v>
      </c>
      <c r="C392" s="16">
        <v>1</v>
      </c>
      <c r="D392" s="16">
        <v>2</v>
      </c>
      <c r="E392" s="16">
        <v>12</v>
      </c>
      <c r="F392" s="17" t="s">
        <v>86</v>
      </c>
      <c r="G392" s="22" t="s">
        <v>15</v>
      </c>
      <c r="H392" s="22" t="s">
        <v>104</v>
      </c>
      <c r="I392" s="17" t="str">
        <f t="shared" si="9"/>
        <v>N-Grupos</v>
      </c>
    </row>
    <row r="393" spans="1:9" x14ac:dyDescent="0.2">
      <c r="A393" s="16"/>
      <c r="B393" s="16">
        <v>2009</v>
      </c>
      <c r="C393" s="16">
        <v>1</v>
      </c>
      <c r="D393" s="16">
        <v>2</v>
      </c>
      <c r="E393" s="16">
        <v>13</v>
      </c>
      <c r="F393" s="17" t="s">
        <v>86</v>
      </c>
      <c r="G393" s="22" t="s">
        <v>15</v>
      </c>
      <c r="H393" s="22" t="s">
        <v>104</v>
      </c>
      <c r="I393" s="17" t="str">
        <f t="shared" si="9"/>
        <v>N-Grupos</v>
      </c>
    </row>
    <row r="394" spans="1:9" x14ac:dyDescent="0.2">
      <c r="A394" s="16"/>
      <c r="B394" s="16">
        <v>2009</v>
      </c>
      <c r="C394" s="16">
        <v>1</v>
      </c>
      <c r="D394" s="16">
        <v>2</v>
      </c>
      <c r="E394" s="16">
        <v>14</v>
      </c>
      <c r="F394" s="17" t="s">
        <v>86</v>
      </c>
      <c r="G394" s="22" t="s">
        <v>15</v>
      </c>
      <c r="H394" s="22" t="s">
        <v>104</v>
      </c>
      <c r="I394" s="17" t="str">
        <f t="shared" si="9"/>
        <v>N-Grupos</v>
      </c>
    </row>
    <row r="395" spans="1:9" x14ac:dyDescent="0.2">
      <c r="A395" s="16"/>
      <c r="B395" s="16">
        <v>2009</v>
      </c>
      <c r="C395" s="16">
        <v>1</v>
      </c>
      <c r="D395" s="16">
        <v>2</v>
      </c>
      <c r="E395" s="16">
        <v>15</v>
      </c>
      <c r="F395" s="17" t="s">
        <v>86</v>
      </c>
      <c r="G395" s="22" t="s">
        <v>15</v>
      </c>
      <c r="H395" s="22" t="s">
        <v>104</v>
      </c>
      <c r="I395" s="17" t="str">
        <f t="shared" si="9"/>
        <v>N-Grupos</v>
      </c>
    </row>
    <row r="396" spans="1:9" x14ac:dyDescent="0.2">
      <c r="A396" s="16"/>
      <c r="B396" s="16">
        <v>2009</v>
      </c>
      <c r="C396" s="16">
        <v>1</v>
      </c>
      <c r="D396" s="16">
        <v>2</v>
      </c>
      <c r="E396" s="16">
        <v>16</v>
      </c>
      <c r="F396" s="17" t="s">
        <v>87</v>
      </c>
      <c r="G396" s="22" t="s">
        <v>15</v>
      </c>
      <c r="H396" s="22" t="s">
        <v>104</v>
      </c>
      <c r="I396" s="17" t="str">
        <f t="shared" si="9"/>
        <v>N-Grupos</v>
      </c>
    </row>
    <row r="397" spans="1:9" x14ac:dyDescent="0.2">
      <c r="A397" s="16"/>
      <c r="B397" s="16">
        <v>2009</v>
      </c>
      <c r="C397" s="16">
        <v>1</v>
      </c>
      <c r="D397" s="16">
        <v>2</v>
      </c>
      <c r="E397" s="16">
        <v>17</v>
      </c>
      <c r="F397" s="17" t="s">
        <v>87</v>
      </c>
      <c r="G397" s="22" t="s">
        <v>15</v>
      </c>
      <c r="H397" s="22" t="s">
        <v>104</v>
      </c>
      <c r="I397" s="17" t="str">
        <f t="shared" si="9"/>
        <v>N-Grupos</v>
      </c>
    </row>
    <row r="398" spans="1:9" x14ac:dyDescent="0.2">
      <c r="A398" s="16"/>
      <c r="B398" s="16">
        <v>2009</v>
      </c>
      <c r="C398" s="16">
        <v>1</v>
      </c>
      <c r="D398" s="16">
        <v>2</v>
      </c>
      <c r="E398" s="16">
        <v>18</v>
      </c>
      <c r="F398" s="17" t="s">
        <v>87</v>
      </c>
      <c r="G398" s="22" t="s">
        <v>15</v>
      </c>
      <c r="H398" s="22" t="s">
        <v>104</v>
      </c>
      <c r="I398" s="17" t="str">
        <f t="shared" si="9"/>
        <v>N-Grupos</v>
      </c>
    </row>
    <row r="399" spans="1:9" x14ac:dyDescent="0.2">
      <c r="A399" s="16"/>
      <c r="B399" s="16">
        <v>2009</v>
      </c>
      <c r="C399" s="16">
        <v>1</v>
      </c>
      <c r="D399" s="16">
        <v>2</v>
      </c>
      <c r="E399" s="16">
        <v>19</v>
      </c>
      <c r="F399" s="17" t="s">
        <v>87</v>
      </c>
      <c r="G399" s="22" t="s">
        <v>15</v>
      </c>
      <c r="H399" s="22" t="s">
        <v>104</v>
      </c>
      <c r="I399" s="17" t="str">
        <f t="shared" si="9"/>
        <v>N-Grupos</v>
      </c>
    </row>
    <row r="400" spans="1:9" x14ac:dyDescent="0.2">
      <c r="A400" s="16"/>
      <c r="B400" s="16">
        <v>2009</v>
      </c>
      <c r="C400" s="16">
        <v>1</v>
      </c>
      <c r="D400" s="16">
        <v>2</v>
      </c>
      <c r="E400" s="16">
        <v>20</v>
      </c>
      <c r="F400" s="17" t="s">
        <v>87</v>
      </c>
      <c r="G400" s="22" t="s">
        <v>15</v>
      </c>
      <c r="H400" s="22" t="s">
        <v>104</v>
      </c>
      <c r="I400" s="17" t="str">
        <f t="shared" si="9"/>
        <v>N-Grupos</v>
      </c>
    </row>
    <row r="401" spans="1:9" x14ac:dyDescent="0.2">
      <c r="A401" s="16"/>
      <c r="B401" s="16">
        <v>2009</v>
      </c>
      <c r="C401" s="16">
        <v>1</v>
      </c>
      <c r="D401" s="16">
        <v>2</v>
      </c>
      <c r="E401" s="16">
        <v>21</v>
      </c>
      <c r="F401" s="17" t="s">
        <v>88</v>
      </c>
      <c r="G401" s="18" t="s">
        <v>15</v>
      </c>
      <c r="H401" s="18" t="s">
        <v>104</v>
      </c>
      <c r="I401" s="17" t="str">
        <f t="shared" si="9"/>
        <v>N-Grupos</v>
      </c>
    </row>
    <row r="402" spans="1:9" x14ac:dyDescent="0.2">
      <c r="A402" s="16"/>
      <c r="B402" s="16">
        <v>2009</v>
      </c>
      <c r="C402" s="16">
        <v>1</v>
      </c>
      <c r="D402" s="16">
        <v>2</v>
      </c>
      <c r="E402" s="16">
        <v>22</v>
      </c>
      <c r="F402" s="17" t="s">
        <v>88</v>
      </c>
      <c r="G402" s="18" t="s">
        <v>15</v>
      </c>
      <c r="H402" s="18" t="s">
        <v>104</v>
      </c>
      <c r="I402" s="17" t="str">
        <f t="shared" si="9"/>
        <v>N-Grupos</v>
      </c>
    </row>
    <row r="403" spans="1:9" x14ac:dyDescent="0.2">
      <c r="A403" s="16"/>
      <c r="B403" s="16">
        <v>2009</v>
      </c>
      <c r="C403" s="16">
        <v>1</v>
      </c>
      <c r="D403" s="16">
        <v>2</v>
      </c>
      <c r="E403" s="16">
        <v>23</v>
      </c>
      <c r="F403" s="17" t="s">
        <v>88</v>
      </c>
      <c r="G403" s="18" t="s">
        <v>15</v>
      </c>
      <c r="H403" s="18" t="s">
        <v>104</v>
      </c>
      <c r="I403" s="17" t="str">
        <f t="shared" si="9"/>
        <v>N-Grupos</v>
      </c>
    </row>
    <row r="404" spans="1:9" x14ac:dyDescent="0.2">
      <c r="A404" s="16"/>
      <c r="B404" s="16">
        <v>2009</v>
      </c>
      <c r="C404" s="16">
        <v>1</v>
      </c>
      <c r="D404" s="16">
        <v>2</v>
      </c>
      <c r="E404" s="16">
        <v>24</v>
      </c>
      <c r="F404" s="17" t="s">
        <v>88</v>
      </c>
      <c r="G404" s="18" t="s">
        <v>15</v>
      </c>
      <c r="H404" s="18" t="s">
        <v>104</v>
      </c>
      <c r="I404" s="17" t="str">
        <f t="shared" si="9"/>
        <v>N-Grupos</v>
      </c>
    </row>
    <row r="405" spans="1:9" x14ac:dyDescent="0.2">
      <c r="A405" s="16"/>
      <c r="B405" s="16">
        <v>2009</v>
      </c>
      <c r="C405" s="16">
        <v>1</v>
      </c>
      <c r="D405" s="16">
        <v>2</v>
      </c>
      <c r="E405" s="16">
        <v>25</v>
      </c>
      <c r="F405" s="17" t="s">
        <v>88</v>
      </c>
      <c r="G405" s="18" t="s">
        <v>15</v>
      </c>
      <c r="H405" s="18" t="s">
        <v>104</v>
      </c>
      <c r="I405" s="17" t="str">
        <f t="shared" si="9"/>
        <v>N-Grupos</v>
      </c>
    </row>
    <row r="406" spans="1:9" x14ac:dyDescent="0.2">
      <c r="A406" s="16"/>
      <c r="B406" s="16">
        <v>2009</v>
      </c>
      <c r="C406" s="16">
        <v>2</v>
      </c>
      <c r="D406" s="16">
        <v>2</v>
      </c>
      <c r="E406" s="16">
        <v>1</v>
      </c>
      <c r="F406" s="17" t="s">
        <v>87</v>
      </c>
      <c r="G406" s="22" t="s">
        <v>15</v>
      </c>
      <c r="H406" s="22" t="s">
        <v>104</v>
      </c>
      <c r="I406" s="17" t="str">
        <f t="shared" si="9"/>
        <v>N-Grupos</v>
      </c>
    </row>
    <row r="407" spans="1:9" x14ac:dyDescent="0.2">
      <c r="A407" s="16"/>
      <c r="B407" s="16">
        <v>2009</v>
      </c>
      <c r="C407" s="16">
        <v>2</v>
      </c>
      <c r="D407" s="16">
        <v>2</v>
      </c>
      <c r="E407" s="16">
        <v>2</v>
      </c>
      <c r="F407" s="17" t="s">
        <v>87</v>
      </c>
      <c r="G407" s="22" t="s">
        <v>15</v>
      </c>
      <c r="H407" s="22" t="s">
        <v>104</v>
      </c>
      <c r="I407" s="17" t="str">
        <f t="shared" si="9"/>
        <v>N-Grupos</v>
      </c>
    </row>
    <row r="408" spans="1:9" x14ac:dyDescent="0.2">
      <c r="A408" s="16"/>
      <c r="B408" s="16">
        <v>2009</v>
      </c>
      <c r="C408" s="16">
        <v>2</v>
      </c>
      <c r="D408" s="16">
        <v>2</v>
      </c>
      <c r="E408" s="16">
        <v>3</v>
      </c>
      <c r="F408" s="17" t="s">
        <v>87</v>
      </c>
      <c r="G408" s="22" t="s">
        <v>15</v>
      </c>
      <c r="H408" s="22" t="s">
        <v>104</v>
      </c>
      <c r="I408" s="17" t="str">
        <f t="shared" si="9"/>
        <v>N-Grupos</v>
      </c>
    </row>
    <row r="409" spans="1:9" x14ac:dyDescent="0.2">
      <c r="A409" s="16"/>
      <c r="B409" s="16">
        <v>2009</v>
      </c>
      <c r="C409" s="16">
        <v>2</v>
      </c>
      <c r="D409" s="16">
        <v>2</v>
      </c>
      <c r="E409" s="16">
        <v>4</v>
      </c>
      <c r="F409" s="17" t="s">
        <v>87</v>
      </c>
      <c r="G409" s="22" t="s">
        <v>15</v>
      </c>
      <c r="H409" s="22" t="s">
        <v>104</v>
      </c>
      <c r="I409" s="17" t="str">
        <f t="shared" si="9"/>
        <v>N-Grupos</v>
      </c>
    </row>
    <row r="410" spans="1:9" x14ac:dyDescent="0.2">
      <c r="A410" s="16"/>
      <c r="B410" s="16">
        <v>2009</v>
      </c>
      <c r="C410" s="16">
        <v>2</v>
      </c>
      <c r="D410" s="16">
        <v>2</v>
      </c>
      <c r="E410" s="16">
        <v>5</v>
      </c>
      <c r="F410" s="17" t="s">
        <v>87</v>
      </c>
      <c r="G410" s="22" t="s">
        <v>15</v>
      </c>
      <c r="H410" s="22" t="s">
        <v>104</v>
      </c>
      <c r="I410" s="17" t="str">
        <f t="shared" si="9"/>
        <v>N-Grupos</v>
      </c>
    </row>
    <row r="411" spans="1:9" x14ac:dyDescent="0.2">
      <c r="A411" s="16"/>
      <c r="B411" s="16">
        <v>2009</v>
      </c>
      <c r="C411" s="16">
        <v>2</v>
      </c>
      <c r="D411" s="16">
        <v>2</v>
      </c>
      <c r="E411" s="16">
        <v>6</v>
      </c>
      <c r="F411" s="17" t="s">
        <v>88</v>
      </c>
      <c r="G411" s="18" t="s">
        <v>15</v>
      </c>
      <c r="H411" s="18" t="s">
        <v>104</v>
      </c>
      <c r="I411" s="17" t="str">
        <f t="shared" si="9"/>
        <v>N-Grupos</v>
      </c>
    </row>
    <row r="412" spans="1:9" x14ac:dyDescent="0.2">
      <c r="A412" s="16"/>
      <c r="B412" s="16">
        <v>2009</v>
      </c>
      <c r="C412" s="16">
        <v>2</v>
      </c>
      <c r="D412" s="16">
        <v>2</v>
      </c>
      <c r="E412" s="16">
        <v>7</v>
      </c>
      <c r="F412" s="17" t="s">
        <v>88</v>
      </c>
      <c r="G412" s="18" t="s">
        <v>15</v>
      </c>
      <c r="H412" s="18" t="s">
        <v>104</v>
      </c>
      <c r="I412" s="17" t="str">
        <f t="shared" si="9"/>
        <v>N-Grupos</v>
      </c>
    </row>
    <row r="413" spans="1:9" x14ac:dyDescent="0.2">
      <c r="A413" s="16"/>
      <c r="B413" s="16">
        <v>2009</v>
      </c>
      <c r="C413" s="16">
        <v>2</v>
      </c>
      <c r="D413" s="16">
        <v>2</v>
      </c>
      <c r="E413" s="16">
        <v>8</v>
      </c>
      <c r="F413" s="17" t="s">
        <v>88</v>
      </c>
      <c r="G413" s="18" t="s">
        <v>15</v>
      </c>
      <c r="H413" s="18" t="s">
        <v>104</v>
      </c>
      <c r="I413" s="17" t="str">
        <f t="shared" si="9"/>
        <v>N-Grupos</v>
      </c>
    </row>
    <row r="414" spans="1:9" x14ac:dyDescent="0.2">
      <c r="A414" s="16"/>
      <c r="B414" s="16">
        <v>2009</v>
      </c>
      <c r="C414" s="16">
        <v>2</v>
      </c>
      <c r="D414" s="16">
        <v>2</v>
      </c>
      <c r="E414" s="16">
        <v>9</v>
      </c>
      <c r="F414" s="17" t="s">
        <v>88</v>
      </c>
      <c r="G414" s="18" t="s">
        <v>15</v>
      </c>
      <c r="H414" s="18" t="s">
        <v>104</v>
      </c>
      <c r="I414" s="17" t="str">
        <f t="shared" si="9"/>
        <v>N-Grupos</v>
      </c>
    </row>
    <row r="415" spans="1:9" x14ac:dyDescent="0.2">
      <c r="A415" s="16"/>
      <c r="B415" s="16">
        <v>2009</v>
      </c>
      <c r="C415" s="16">
        <v>2</v>
      </c>
      <c r="D415" s="16">
        <v>2</v>
      </c>
      <c r="E415" s="16">
        <v>10</v>
      </c>
      <c r="F415" s="17" t="s">
        <v>88</v>
      </c>
      <c r="G415" s="18" t="s">
        <v>15</v>
      </c>
      <c r="H415" s="18" t="s">
        <v>104</v>
      </c>
      <c r="I415" s="17" t="str">
        <f t="shared" si="9"/>
        <v>N-Grupos</v>
      </c>
    </row>
    <row r="416" spans="1:9" x14ac:dyDescent="0.2">
      <c r="A416" s="16"/>
      <c r="B416" s="16">
        <v>2009</v>
      </c>
      <c r="C416" s="16">
        <v>2</v>
      </c>
      <c r="D416" s="16">
        <v>2</v>
      </c>
      <c r="E416" s="16">
        <v>11</v>
      </c>
      <c r="F416" s="17" t="s">
        <v>89</v>
      </c>
      <c r="G416" s="22" t="s">
        <v>15</v>
      </c>
      <c r="H416" s="22" t="s">
        <v>104</v>
      </c>
      <c r="I416" s="17" t="str">
        <f t="shared" si="9"/>
        <v>N-Grupos</v>
      </c>
    </row>
    <row r="417" spans="1:9" x14ac:dyDescent="0.2">
      <c r="A417" s="16"/>
      <c r="B417" s="16">
        <v>2009</v>
      </c>
      <c r="C417" s="16">
        <v>2</v>
      </c>
      <c r="D417" s="16">
        <v>2</v>
      </c>
      <c r="E417" s="16">
        <v>12</v>
      </c>
      <c r="F417" s="17" t="s">
        <v>89</v>
      </c>
      <c r="G417" s="22" t="s">
        <v>15</v>
      </c>
      <c r="H417" s="22" t="s">
        <v>104</v>
      </c>
      <c r="I417" s="17" t="str">
        <f t="shared" si="9"/>
        <v>N-Grupos</v>
      </c>
    </row>
    <row r="418" spans="1:9" x14ac:dyDescent="0.2">
      <c r="A418" s="16"/>
      <c r="B418" s="16">
        <v>2009</v>
      </c>
      <c r="C418" s="16">
        <v>2</v>
      </c>
      <c r="D418" s="16">
        <v>2</v>
      </c>
      <c r="E418" s="16">
        <v>13</v>
      </c>
      <c r="F418" s="17" t="s">
        <v>89</v>
      </c>
      <c r="G418" s="22" t="s">
        <v>15</v>
      </c>
      <c r="H418" s="22" t="s">
        <v>104</v>
      </c>
      <c r="I418" s="17" t="str">
        <f t="shared" si="9"/>
        <v>N-Grupos</v>
      </c>
    </row>
    <row r="419" spans="1:9" x14ac:dyDescent="0.2">
      <c r="A419" s="16"/>
      <c r="B419" s="16">
        <v>2009</v>
      </c>
      <c r="C419" s="16">
        <v>2</v>
      </c>
      <c r="D419" s="16">
        <v>2</v>
      </c>
      <c r="E419" s="16">
        <v>14</v>
      </c>
      <c r="F419" s="17" t="s">
        <v>89</v>
      </c>
      <c r="G419" s="22" t="s">
        <v>15</v>
      </c>
      <c r="H419" s="22" t="s">
        <v>104</v>
      </c>
      <c r="I419" s="17" t="str">
        <f t="shared" si="9"/>
        <v>N-Grupos</v>
      </c>
    </row>
    <row r="420" spans="1:9" x14ac:dyDescent="0.2">
      <c r="A420" s="16"/>
      <c r="B420" s="16">
        <v>2009</v>
      </c>
      <c r="C420" s="16">
        <v>2</v>
      </c>
      <c r="D420" s="16">
        <v>2</v>
      </c>
      <c r="E420" s="16">
        <v>15</v>
      </c>
      <c r="F420" s="17" t="s">
        <v>89</v>
      </c>
      <c r="G420" s="22" t="s">
        <v>15</v>
      </c>
      <c r="H420" s="22" t="s">
        <v>104</v>
      </c>
      <c r="I420" s="17" t="str">
        <f t="shared" si="9"/>
        <v>N-Grupos</v>
      </c>
    </row>
    <row r="421" spans="1:9" x14ac:dyDescent="0.2">
      <c r="A421" s="16"/>
      <c r="B421" s="16">
        <v>2009</v>
      </c>
      <c r="C421" s="16">
        <v>2</v>
      </c>
      <c r="D421" s="16">
        <v>2</v>
      </c>
      <c r="E421" s="16">
        <v>16</v>
      </c>
      <c r="F421" s="17" t="s">
        <v>90</v>
      </c>
      <c r="G421" s="18" t="s">
        <v>15</v>
      </c>
      <c r="H421" s="18" t="s">
        <v>104</v>
      </c>
      <c r="I421" s="17" t="str">
        <f t="shared" si="9"/>
        <v>N-Grupos</v>
      </c>
    </row>
    <row r="422" spans="1:9" x14ac:dyDescent="0.2">
      <c r="A422" s="16"/>
      <c r="B422" s="16">
        <v>2009</v>
      </c>
      <c r="C422" s="16">
        <v>2</v>
      </c>
      <c r="D422" s="16">
        <v>2</v>
      </c>
      <c r="E422" s="16">
        <v>17</v>
      </c>
      <c r="F422" s="17" t="s">
        <v>90</v>
      </c>
      <c r="G422" s="18" t="s">
        <v>15</v>
      </c>
      <c r="H422" s="18" t="s">
        <v>104</v>
      </c>
      <c r="I422" s="17" t="str">
        <f t="shared" si="9"/>
        <v>N-Grupos</v>
      </c>
    </row>
    <row r="423" spans="1:9" x14ac:dyDescent="0.2">
      <c r="A423" s="16"/>
      <c r="B423" s="16">
        <v>2009</v>
      </c>
      <c r="C423" s="16">
        <v>2</v>
      </c>
      <c r="D423" s="16">
        <v>2</v>
      </c>
      <c r="E423" s="16">
        <v>18</v>
      </c>
      <c r="F423" s="17" t="s">
        <v>90</v>
      </c>
      <c r="G423" s="18" t="s">
        <v>15</v>
      </c>
      <c r="H423" s="18" t="s">
        <v>104</v>
      </c>
      <c r="I423" s="17" t="str">
        <f t="shared" si="9"/>
        <v>N-Grupos</v>
      </c>
    </row>
    <row r="424" spans="1:9" x14ac:dyDescent="0.2">
      <c r="A424" s="16"/>
      <c r="B424" s="16">
        <v>2009</v>
      </c>
      <c r="C424" s="16">
        <v>2</v>
      </c>
      <c r="D424" s="16">
        <v>2</v>
      </c>
      <c r="E424" s="16">
        <v>19</v>
      </c>
      <c r="F424" s="17" t="s">
        <v>90</v>
      </c>
      <c r="G424" s="18" t="s">
        <v>15</v>
      </c>
      <c r="H424" s="18" t="s">
        <v>104</v>
      </c>
      <c r="I424" s="17" t="str">
        <f t="shared" si="9"/>
        <v>N-Grupos</v>
      </c>
    </row>
    <row r="425" spans="1:9" x14ac:dyDescent="0.2">
      <c r="A425" s="16"/>
      <c r="B425" s="16">
        <v>2009</v>
      </c>
      <c r="C425" s="16">
        <v>2</v>
      </c>
      <c r="D425" s="16">
        <v>2</v>
      </c>
      <c r="E425" s="16">
        <v>20</v>
      </c>
      <c r="F425" s="17" t="s">
        <v>90</v>
      </c>
      <c r="G425" s="18" t="s">
        <v>15</v>
      </c>
      <c r="H425" s="18" t="s">
        <v>104</v>
      </c>
      <c r="I425" s="17" t="str">
        <f t="shared" si="9"/>
        <v>N-Grupos</v>
      </c>
    </row>
    <row r="426" spans="1:9" x14ac:dyDescent="0.2">
      <c r="A426" s="16"/>
      <c r="B426" s="16">
        <v>2009</v>
      </c>
      <c r="C426" s="16">
        <v>2</v>
      </c>
      <c r="D426" s="16">
        <v>2</v>
      </c>
      <c r="E426" s="16">
        <v>21</v>
      </c>
      <c r="F426" s="17" t="s">
        <v>91</v>
      </c>
      <c r="G426" s="18" t="s">
        <v>18</v>
      </c>
      <c r="H426" s="18" t="s">
        <v>102</v>
      </c>
      <c r="I426" s="17" t="str">
        <f t="shared" si="9"/>
        <v>Linear</v>
      </c>
    </row>
    <row r="427" spans="1:9" x14ac:dyDescent="0.2">
      <c r="A427" s="16"/>
      <c r="B427" s="16">
        <v>2009</v>
      </c>
      <c r="C427" s="16">
        <v>2</v>
      </c>
      <c r="D427" s="16">
        <v>2</v>
      </c>
      <c r="E427" s="16">
        <v>22</v>
      </c>
      <c r="F427" s="17" t="s">
        <v>91</v>
      </c>
      <c r="G427" s="18" t="s">
        <v>18</v>
      </c>
      <c r="H427" s="18" t="s">
        <v>102</v>
      </c>
      <c r="I427" s="17" t="str">
        <f t="shared" si="9"/>
        <v>Linear</v>
      </c>
    </row>
    <row r="428" spans="1:9" x14ac:dyDescent="0.2">
      <c r="A428" s="16"/>
      <c r="B428" s="16">
        <v>2009</v>
      </c>
      <c r="C428" s="16">
        <v>2</v>
      </c>
      <c r="D428" s="16">
        <v>2</v>
      </c>
      <c r="E428" s="16">
        <v>23</v>
      </c>
      <c r="F428" s="17" t="s">
        <v>91</v>
      </c>
      <c r="G428" s="18" t="s">
        <v>18</v>
      </c>
      <c r="H428" s="18" t="s">
        <v>102</v>
      </c>
      <c r="I428" s="17" t="str">
        <f t="shared" si="9"/>
        <v>Linear</v>
      </c>
    </row>
    <row r="429" spans="1:9" x14ac:dyDescent="0.2">
      <c r="A429" s="16"/>
      <c r="B429" s="16">
        <v>2009</v>
      </c>
      <c r="C429" s="16">
        <v>2</v>
      </c>
      <c r="D429" s="16">
        <v>2</v>
      </c>
      <c r="E429" s="16">
        <v>24</v>
      </c>
      <c r="F429" s="17" t="s">
        <v>91</v>
      </c>
      <c r="G429" s="18" t="s">
        <v>18</v>
      </c>
      <c r="H429" s="18" t="s">
        <v>102</v>
      </c>
      <c r="I429" s="17" t="str">
        <f t="shared" si="9"/>
        <v>Linear</v>
      </c>
    </row>
    <row r="430" spans="1:9" x14ac:dyDescent="0.2">
      <c r="A430" s="16"/>
      <c r="B430" s="16">
        <v>2009</v>
      </c>
      <c r="C430" s="16">
        <v>2</v>
      </c>
      <c r="D430" s="16">
        <v>2</v>
      </c>
      <c r="E430" s="16">
        <v>25</v>
      </c>
      <c r="F430" s="17" t="s">
        <v>91</v>
      </c>
      <c r="G430" s="18" t="s">
        <v>18</v>
      </c>
      <c r="H430" s="18" t="s">
        <v>102</v>
      </c>
      <c r="I430" s="17" t="str">
        <f t="shared" si="9"/>
        <v>Linear</v>
      </c>
    </row>
    <row r="431" spans="1:9" x14ac:dyDescent="0.2">
      <c r="A431" s="16"/>
      <c r="B431" s="16">
        <v>2009</v>
      </c>
      <c r="C431" s="16">
        <v>2</v>
      </c>
      <c r="D431" s="16">
        <v>1</v>
      </c>
      <c r="E431" s="16">
        <v>1</v>
      </c>
      <c r="F431" s="17" t="s">
        <v>92</v>
      </c>
      <c r="G431" s="18" t="s">
        <v>18</v>
      </c>
      <c r="H431" s="18" t="s">
        <v>102</v>
      </c>
      <c r="I431" s="17" t="str">
        <f t="shared" si="9"/>
        <v>Linear</v>
      </c>
    </row>
    <row r="432" spans="1:9" x14ac:dyDescent="0.2">
      <c r="A432" s="16"/>
      <c r="B432" s="16">
        <v>2009</v>
      </c>
      <c r="C432" s="16">
        <v>2</v>
      </c>
      <c r="D432" s="16">
        <v>1</v>
      </c>
      <c r="E432" s="16">
        <v>2</v>
      </c>
      <c r="F432" s="17" t="s">
        <v>92</v>
      </c>
      <c r="G432" s="18" t="s">
        <v>18</v>
      </c>
      <c r="H432" s="18" t="s">
        <v>102</v>
      </c>
      <c r="I432" s="17" t="str">
        <f t="shared" si="9"/>
        <v>Linear</v>
      </c>
    </row>
    <row r="433" spans="1:9" x14ac:dyDescent="0.2">
      <c r="A433" s="16"/>
      <c r="B433" s="16">
        <v>2009</v>
      </c>
      <c r="C433" s="16">
        <v>2</v>
      </c>
      <c r="D433" s="16">
        <v>1</v>
      </c>
      <c r="E433" s="16">
        <v>3</v>
      </c>
      <c r="F433" s="17" t="s">
        <v>92</v>
      </c>
      <c r="G433" s="18" t="s">
        <v>18</v>
      </c>
      <c r="H433" s="18" t="s">
        <v>102</v>
      </c>
      <c r="I433" s="17" t="str">
        <f t="shared" si="9"/>
        <v>Linear</v>
      </c>
    </row>
    <row r="434" spans="1:9" x14ac:dyDescent="0.2">
      <c r="A434" s="16"/>
      <c r="B434" s="16">
        <v>2009</v>
      </c>
      <c r="C434" s="16">
        <v>2</v>
      </c>
      <c r="D434" s="16">
        <v>1</v>
      </c>
      <c r="E434" s="16">
        <v>4</v>
      </c>
      <c r="F434" s="17" t="s">
        <v>92</v>
      </c>
      <c r="G434" s="18" t="s">
        <v>18</v>
      </c>
      <c r="H434" s="18" t="s">
        <v>102</v>
      </c>
      <c r="I434" s="17" t="str">
        <f t="shared" si="9"/>
        <v>Linear</v>
      </c>
    </row>
    <row r="435" spans="1:9" x14ac:dyDescent="0.2">
      <c r="A435" s="16"/>
      <c r="B435" s="16">
        <v>2009</v>
      </c>
      <c r="C435" s="16">
        <v>2</v>
      </c>
      <c r="D435" s="16">
        <v>1</v>
      </c>
      <c r="E435" s="16">
        <v>5</v>
      </c>
      <c r="F435" s="17" t="s">
        <v>92</v>
      </c>
      <c r="G435" s="18" t="s">
        <v>18</v>
      </c>
      <c r="H435" s="18" t="s">
        <v>102</v>
      </c>
      <c r="I435" s="17" t="str">
        <f t="shared" si="9"/>
        <v>Linear</v>
      </c>
    </row>
    <row r="436" spans="1:9" x14ac:dyDescent="0.2">
      <c r="A436" s="16"/>
      <c r="B436" s="16">
        <v>2009</v>
      </c>
      <c r="C436" s="16">
        <v>2</v>
      </c>
      <c r="D436" s="16">
        <v>1</v>
      </c>
      <c r="E436" s="16">
        <v>6</v>
      </c>
      <c r="F436" s="17" t="s">
        <v>93</v>
      </c>
      <c r="G436" s="18" t="s">
        <v>15</v>
      </c>
      <c r="H436" s="18" t="s">
        <v>112</v>
      </c>
      <c r="I436" s="17" t="str">
        <f t="shared" si="9"/>
        <v>1 grupo</v>
      </c>
    </row>
    <row r="437" spans="1:9" x14ac:dyDescent="0.2">
      <c r="A437" s="16"/>
      <c r="B437" s="16">
        <v>2009</v>
      </c>
      <c r="C437" s="16">
        <v>2</v>
      </c>
      <c r="D437" s="16">
        <v>1</v>
      </c>
      <c r="E437" s="16">
        <v>7</v>
      </c>
      <c r="F437" s="17" t="s">
        <v>93</v>
      </c>
      <c r="G437" s="18" t="s">
        <v>15</v>
      </c>
      <c r="H437" s="18" t="s">
        <v>112</v>
      </c>
      <c r="I437" s="17" t="str">
        <f t="shared" si="9"/>
        <v>1 grupo</v>
      </c>
    </row>
    <row r="438" spans="1:9" x14ac:dyDescent="0.2">
      <c r="A438" s="16"/>
      <c r="B438" s="16">
        <v>2009</v>
      </c>
      <c r="C438" s="16">
        <v>2</v>
      </c>
      <c r="D438" s="16">
        <v>1</v>
      </c>
      <c r="E438" s="16">
        <v>8</v>
      </c>
      <c r="F438" s="17" t="s">
        <v>93</v>
      </c>
      <c r="G438" s="18" t="s">
        <v>15</v>
      </c>
      <c r="H438" s="18" t="s">
        <v>112</v>
      </c>
      <c r="I438" s="17" t="str">
        <f t="shared" si="9"/>
        <v>1 grupo</v>
      </c>
    </row>
    <row r="439" spans="1:9" x14ac:dyDescent="0.2">
      <c r="A439" s="16"/>
      <c r="B439" s="16">
        <v>2009</v>
      </c>
      <c r="C439" s="16">
        <v>2</v>
      </c>
      <c r="D439" s="16">
        <v>1</v>
      </c>
      <c r="E439" s="16">
        <v>9</v>
      </c>
      <c r="F439" s="17" t="s">
        <v>93</v>
      </c>
      <c r="G439" s="18" t="s">
        <v>15</v>
      </c>
      <c r="H439" s="18" t="s">
        <v>112</v>
      </c>
      <c r="I439" s="17" t="str">
        <f t="shared" si="9"/>
        <v>1 grupo</v>
      </c>
    </row>
    <row r="440" spans="1:9" x14ac:dyDescent="0.2">
      <c r="A440" s="16"/>
      <c r="B440" s="16">
        <v>2009</v>
      </c>
      <c r="C440" s="16">
        <v>2</v>
      </c>
      <c r="D440" s="16">
        <v>1</v>
      </c>
      <c r="E440" s="16">
        <v>10</v>
      </c>
      <c r="F440" s="17" t="s">
        <v>93</v>
      </c>
      <c r="G440" s="18" t="s">
        <v>15</v>
      </c>
      <c r="H440" s="18" t="s">
        <v>112</v>
      </c>
      <c r="I440" s="17" t="str">
        <f t="shared" si="9"/>
        <v>1 grupo</v>
      </c>
    </row>
    <row r="441" spans="1:9" x14ac:dyDescent="0.2">
      <c r="A441" s="16"/>
      <c r="B441" s="16">
        <v>2009</v>
      </c>
      <c r="C441" s="16">
        <v>2</v>
      </c>
      <c r="D441" s="16">
        <v>1</v>
      </c>
      <c r="E441" s="16">
        <v>11</v>
      </c>
      <c r="F441" s="17" t="s">
        <v>94</v>
      </c>
      <c r="G441" s="18" t="s">
        <v>15</v>
      </c>
      <c r="H441" s="18" t="s">
        <v>113</v>
      </c>
      <c r="I441" s="17" t="str">
        <f t="shared" si="9"/>
        <v>N grupos</v>
      </c>
    </row>
    <row r="442" spans="1:9" x14ac:dyDescent="0.2">
      <c r="A442" s="16"/>
      <c r="B442" s="16">
        <v>2009</v>
      </c>
      <c r="C442" s="16">
        <v>2</v>
      </c>
      <c r="D442" s="16">
        <v>1</v>
      </c>
      <c r="E442" s="16">
        <v>12</v>
      </c>
      <c r="F442" s="17" t="s">
        <v>94</v>
      </c>
      <c r="G442" s="18" t="s">
        <v>15</v>
      </c>
      <c r="H442" s="18" t="s">
        <v>113</v>
      </c>
      <c r="I442" s="17" t="str">
        <f t="shared" si="9"/>
        <v>N grupos</v>
      </c>
    </row>
    <row r="443" spans="1:9" x14ac:dyDescent="0.2">
      <c r="A443" s="16"/>
      <c r="B443" s="16">
        <v>2009</v>
      </c>
      <c r="C443" s="16">
        <v>2</v>
      </c>
      <c r="D443" s="16">
        <v>1</v>
      </c>
      <c r="E443" s="16">
        <v>13</v>
      </c>
      <c r="F443" s="17" t="s">
        <v>94</v>
      </c>
      <c r="G443" s="18" t="s">
        <v>15</v>
      </c>
      <c r="H443" s="18" t="s">
        <v>113</v>
      </c>
      <c r="I443" s="17" t="str">
        <f t="shared" si="9"/>
        <v>N grupos</v>
      </c>
    </row>
    <row r="444" spans="1:9" x14ac:dyDescent="0.2">
      <c r="A444" s="16"/>
      <c r="B444" s="16">
        <v>2009</v>
      </c>
      <c r="C444" s="16">
        <v>2</v>
      </c>
      <c r="D444" s="16">
        <v>1</v>
      </c>
      <c r="E444" s="16">
        <v>14</v>
      </c>
      <c r="F444" s="17" t="s">
        <v>94</v>
      </c>
      <c r="G444" s="18" t="s">
        <v>15</v>
      </c>
      <c r="H444" s="18" t="s">
        <v>113</v>
      </c>
      <c r="I444" s="17" t="str">
        <f t="shared" si="9"/>
        <v>N grupos</v>
      </c>
    </row>
    <row r="445" spans="1:9" x14ac:dyDescent="0.2">
      <c r="A445" s="16"/>
      <c r="B445" s="16">
        <v>2009</v>
      </c>
      <c r="C445" s="16">
        <v>2</v>
      </c>
      <c r="D445" s="16">
        <v>1</v>
      </c>
      <c r="E445" s="16">
        <v>15</v>
      </c>
      <c r="F445" s="17" t="s">
        <v>94</v>
      </c>
      <c r="G445" s="18" t="s">
        <v>15</v>
      </c>
      <c r="H445" s="18" t="s">
        <v>113</v>
      </c>
      <c r="I445" s="17" t="str">
        <f t="shared" si="9"/>
        <v>N grupos</v>
      </c>
    </row>
    <row r="446" spans="1:9" x14ac:dyDescent="0.2">
      <c r="A446" s="16"/>
      <c r="B446" s="16">
        <v>2009</v>
      </c>
      <c r="C446" s="16">
        <v>2</v>
      </c>
      <c r="D446" s="16">
        <v>1</v>
      </c>
      <c r="E446" s="16">
        <v>16</v>
      </c>
      <c r="F446" s="17" t="s">
        <v>95</v>
      </c>
      <c r="G446" s="18" t="s">
        <v>15</v>
      </c>
      <c r="H446" s="18" t="s">
        <v>113</v>
      </c>
      <c r="I446" s="17" t="str">
        <f t="shared" si="9"/>
        <v>N grupos</v>
      </c>
    </row>
    <row r="447" spans="1:9" x14ac:dyDescent="0.2">
      <c r="A447" s="16"/>
      <c r="B447" s="16">
        <v>2009</v>
      </c>
      <c r="C447" s="16">
        <v>2</v>
      </c>
      <c r="D447" s="16">
        <v>1</v>
      </c>
      <c r="E447" s="16">
        <v>17</v>
      </c>
      <c r="F447" s="17" t="s">
        <v>95</v>
      </c>
      <c r="G447" s="18" t="s">
        <v>15</v>
      </c>
      <c r="H447" s="18" t="s">
        <v>113</v>
      </c>
      <c r="I447" s="17" t="str">
        <f t="shared" si="9"/>
        <v>N grupos</v>
      </c>
    </row>
    <row r="448" spans="1:9" x14ac:dyDescent="0.2">
      <c r="A448" s="16"/>
      <c r="B448" s="16">
        <v>2009</v>
      </c>
      <c r="C448" s="16">
        <v>2</v>
      </c>
      <c r="D448" s="16">
        <v>1</v>
      </c>
      <c r="E448" s="16">
        <v>18</v>
      </c>
      <c r="F448" s="17" t="s">
        <v>95</v>
      </c>
      <c r="G448" s="18" t="s">
        <v>15</v>
      </c>
      <c r="H448" s="18" t="s">
        <v>113</v>
      </c>
      <c r="I448" s="17" t="str">
        <f t="shared" si="9"/>
        <v>N grupos</v>
      </c>
    </row>
    <row r="449" spans="1:9" x14ac:dyDescent="0.2">
      <c r="A449" s="16"/>
      <c r="B449" s="16">
        <v>2009</v>
      </c>
      <c r="C449" s="16">
        <v>2</v>
      </c>
      <c r="D449" s="16">
        <v>1</v>
      </c>
      <c r="E449" s="16">
        <v>19</v>
      </c>
      <c r="F449" s="17" t="s">
        <v>95</v>
      </c>
      <c r="G449" s="18" t="s">
        <v>15</v>
      </c>
      <c r="H449" s="18" t="s">
        <v>113</v>
      </c>
      <c r="I449" s="17" t="str">
        <f t="shared" si="9"/>
        <v>N grupos</v>
      </c>
    </row>
    <row r="450" spans="1:9" x14ac:dyDescent="0.2">
      <c r="A450" s="16"/>
      <c r="B450" s="16">
        <v>2009</v>
      </c>
      <c r="C450" s="16">
        <v>2</v>
      </c>
      <c r="D450" s="16">
        <v>1</v>
      </c>
      <c r="E450" s="16">
        <v>20</v>
      </c>
      <c r="F450" s="17" t="s">
        <v>95</v>
      </c>
      <c r="G450" s="18" t="s">
        <v>15</v>
      </c>
      <c r="H450" s="18" t="s">
        <v>113</v>
      </c>
      <c r="I450" s="17" t="str">
        <f t="shared" si="9"/>
        <v>N grupos</v>
      </c>
    </row>
  </sheetData>
  <autoFilter ref="B1:I450" xr:uid="{00000000-0009-0000-0000-000001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L4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.42578125" customWidth="1"/>
    <col min="5" max="5" width="17" customWidth="1"/>
    <col min="6" max="6" width="22" customWidth="1"/>
    <col min="8" max="8" width="15.140625" customWidth="1"/>
    <col min="9" max="9" width="20.28515625" customWidth="1"/>
    <col min="10" max="10" width="14.42578125" customWidth="1"/>
  </cols>
  <sheetData>
    <row r="1" spans="2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5" t="s">
        <v>5</v>
      </c>
      <c r="H1" s="25" t="s">
        <v>97</v>
      </c>
    </row>
    <row r="2" spans="2:12" x14ac:dyDescent="0.2">
      <c r="B2" s="3">
        <v>2003</v>
      </c>
      <c r="C2" s="3">
        <v>0</v>
      </c>
      <c r="D2" s="3">
        <v>0</v>
      </c>
      <c r="E2" s="3">
        <v>1</v>
      </c>
      <c r="F2" s="4" t="s">
        <v>6</v>
      </c>
      <c r="G2" s="5" t="s">
        <v>98</v>
      </c>
      <c r="H2" s="5" t="s">
        <v>7</v>
      </c>
    </row>
    <row r="3" spans="2:12" x14ac:dyDescent="0.2">
      <c r="B3" s="3">
        <v>2003</v>
      </c>
      <c r="C3" s="3">
        <v>0</v>
      </c>
      <c r="D3" s="3">
        <v>0</v>
      </c>
      <c r="E3" s="3">
        <v>2</v>
      </c>
      <c r="F3" s="4" t="s">
        <v>6</v>
      </c>
      <c r="G3" s="5" t="s">
        <v>98</v>
      </c>
      <c r="H3" s="5" t="s">
        <v>7</v>
      </c>
      <c r="J3" s="6" t="s">
        <v>8</v>
      </c>
      <c r="K3" s="7">
        <v>304</v>
      </c>
      <c r="L3" s="8">
        <f t="shared" ref="L3:L6" si="0">ROUND((K3/$K$6)*100,2)%</f>
        <v>0.67709999999999992</v>
      </c>
    </row>
    <row r="4" spans="2:12" x14ac:dyDescent="0.2">
      <c r="B4" s="3">
        <v>2003</v>
      </c>
      <c r="C4" s="3">
        <v>0</v>
      </c>
      <c r="D4" s="3">
        <v>0</v>
      </c>
      <c r="E4" s="3">
        <v>3</v>
      </c>
      <c r="F4" s="4" t="s">
        <v>10</v>
      </c>
      <c r="G4" s="5" t="s">
        <v>98</v>
      </c>
      <c r="H4" s="5" t="s">
        <v>11</v>
      </c>
      <c r="J4" s="19" t="s">
        <v>101</v>
      </c>
      <c r="K4" s="20">
        <v>70</v>
      </c>
      <c r="L4" s="21">
        <f t="shared" si="0"/>
        <v>0.15590000000000001</v>
      </c>
    </row>
    <row r="5" spans="2:12" x14ac:dyDescent="0.2">
      <c r="B5" s="3">
        <v>2003</v>
      </c>
      <c r="C5" s="3">
        <v>0</v>
      </c>
      <c r="D5" s="3">
        <v>0</v>
      </c>
      <c r="E5" s="3">
        <v>4</v>
      </c>
      <c r="F5" s="4" t="s">
        <v>10</v>
      </c>
      <c r="G5" s="5" t="s">
        <v>98</v>
      </c>
      <c r="H5" s="5" t="s">
        <v>11</v>
      </c>
      <c r="J5" s="9" t="s">
        <v>9</v>
      </c>
      <c r="K5" s="10">
        <v>75</v>
      </c>
      <c r="L5" s="11">
        <f t="shared" si="0"/>
        <v>0.16699999999999998</v>
      </c>
    </row>
    <row r="6" spans="2:12" x14ac:dyDescent="0.2">
      <c r="B6" s="3">
        <v>2003</v>
      </c>
      <c r="C6" s="3">
        <v>0</v>
      </c>
      <c r="D6" s="3">
        <v>0</v>
      </c>
      <c r="E6" s="3">
        <v>5</v>
      </c>
      <c r="F6" s="4" t="s">
        <v>13</v>
      </c>
      <c r="G6" s="5" t="s">
        <v>98</v>
      </c>
      <c r="H6" s="5" t="s">
        <v>7</v>
      </c>
      <c r="J6" s="12" t="s">
        <v>12</v>
      </c>
      <c r="K6" s="13">
        <f>SUM(K3:K5)</f>
        <v>449</v>
      </c>
      <c r="L6" s="14">
        <f t="shared" si="0"/>
        <v>1</v>
      </c>
    </row>
    <row r="7" spans="2:12" x14ac:dyDescent="0.2">
      <c r="B7" s="3">
        <v>2003</v>
      </c>
      <c r="C7" s="3">
        <v>0</v>
      </c>
      <c r="D7" s="3">
        <v>0</v>
      </c>
      <c r="E7" s="3">
        <v>6</v>
      </c>
      <c r="F7" s="4" t="s">
        <v>13</v>
      </c>
      <c r="G7" s="5" t="s">
        <v>98</v>
      </c>
      <c r="H7" s="5" t="s">
        <v>7</v>
      </c>
    </row>
    <row r="8" spans="2:12" x14ac:dyDescent="0.2">
      <c r="B8" s="3">
        <v>2003</v>
      </c>
      <c r="C8" s="3">
        <v>0</v>
      </c>
      <c r="D8" s="3">
        <v>0</v>
      </c>
      <c r="E8" s="3">
        <v>7</v>
      </c>
      <c r="F8" s="4" t="s">
        <v>13</v>
      </c>
      <c r="G8" s="5" t="s">
        <v>98</v>
      </c>
      <c r="H8" s="5" t="s">
        <v>7</v>
      </c>
    </row>
    <row r="9" spans="2:12" x14ac:dyDescent="0.2">
      <c r="B9" s="3">
        <v>2003</v>
      </c>
      <c r="C9" s="3">
        <v>0</v>
      </c>
      <c r="D9" s="3">
        <v>0</v>
      </c>
      <c r="E9" s="3">
        <v>8</v>
      </c>
      <c r="F9" s="4" t="s">
        <v>13</v>
      </c>
      <c r="G9" s="5" t="s">
        <v>98</v>
      </c>
      <c r="H9" s="5" t="s">
        <v>7</v>
      </c>
    </row>
    <row r="10" spans="2:12" x14ac:dyDescent="0.2">
      <c r="B10" s="3">
        <v>2003</v>
      </c>
      <c r="C10" s="3">
        <v>0</v>
      </c>
      <c r="D10" s="3">
        <v>0</v>
      </c>
      <c r="E10" s="3">
        <v>9</v>
      </c>
      <c r="F10" s="4" t="s">
        <v>14</v>
      </c>
      <c r="G10" s="5" t="s">
        <v>18</v>
      </c>
      <c r="H10" s="5" t="s">
        <v>114</v>
      </c>
    </row>
    <row r="11" spans="2:12" x14ac:dyDescent="0.2">
      <c r="B11" s="3">
        <v>2003</v>
      </c>
      <c r="C11" s="3">
        <v>0</v>
      </c>
      <c r="D11" s="3">
        <v>0</v>
      </c>
      <c r="E11" s="3">
        <v>10</v>
      </c>
      <c r="F11" s="4" t="s">
        <v>14</v>
      </c>
      <c r="G11" s="5" t="s">
        <v>18</v>
      </c>
      <c r="H11" s="5" t="s">
        <v>114</v>
      </c>
    </row>
    <row r="12" spans="2:12" x14ac:dyDescent="0.2">
      <c r="B12" s="3">
        <v>2003</v>
      </c>
      <c r="C12" s="3">
        <v>0</v>
      </c>
      <c r="D12" s="3">
        <v>0</v>
      </c>
      <c r="E12" s="3">
        <v>11</v>
      </c>
      <c r="F12" s="4" t="s">
        <v>14</v>
      </c>
      <c r="G12" s="5" t="s">
        <v>18</v>
      </c>
      <c r="H12" s="5" t="s">
        <v>114</v>
      </c>
    </row>
    <row r="13" spans="2:12" x14ac:dyDescent="0.2">
      <c r="B13" s="3">
        <v>2003</v>
      </c>
      <c r="C13" s="3">
        <v>0</v>
      </c>
      <c r="D13" s="3">
        <v>0</v>
      </c>
      <c r="E13" s="3">
        <v>12</v>
      </c>
      <c r="F13" s="4" t="s">
        <v>14</v>
      </c>
      <c r="G13" s="5" t="s">
        <v>18</v>
      </c>
      <c r="H13" s="5" t="s">
        <v>114</v>
      </c>
    </row>
    <row r="14" spans="2:12" x14ac:dyDescent="0.2">
      <c r="B14" s="3">
        <v>2003</v>
      </c>
      <c r="C14" s="3">
        <v>0</v>
      </c>
      <c r="D14" s="3">
        <v>0</v>
      </c>
      <c r="E14" s="3">
        <v>13</v>
      </c>
      <c r="F14" s="4" t="s">
        <v>16</v>
      </c>
      <c r="G14" s="5" t="s">
        <v>18</v>
      </c>
      <c r="H14" s="5" t="s">
        <v>114</v>
      </c>
    </row>
    <row r="15" spans="2:12" x14ac:dyDescent="0.2">
      <c r="B15" s="3">
        <v>2003</v>
      </c>
      <c r="C15" s="3">
        <v>0</v>
      </c>
      <c r="D15" s="3">
        <v>0</v>
      </c>
      <c r="E15" s="3">
        <v>14</v>
      </c>
      <c r="F15" s="4" t="s">
        <v>16</v>
      </c>
      <c r="G15" s="5" t="s">
        <v>18</v>
      </c>
      <c r="H15" s="5" t="s">
        <v>114</v>
      </c>
    </row>
    <row r="16" spans="2:12" x14ac:dyDescent="0.2">
      <c r="B16" s="3">
        <v>2003</v>
      </c>
      <c r="C16" s="3">
        <v>0</v>
      </c>
      <c r="D16" s="3">
        <v>0</v>
      </c>
      <c r="E16" s="3">
        <v>15</v>
      </c>
      <c r="F16" s="4" t="s">
        <v>16</v>
      </c>
      <c r="G16" s="5" t="s">
        <v>18</v>
      </c>
      <c r="H16" s="5" t="s">
        <v>114</v>
      </c>
    </row>
    <row r="17" spans="2:8" x14ac:dyDescent="0.2">
      <c r="B17" s="3">
        <v>2003</v>
      </c>
      <c r="C17" s="3">
        <v>0</v>
      </c>
      <c r="D17" s="3">
        <v>0</v>
      </c>
      <c r="E17" s="3">
        <v>16</v>
      </c>
      <c r="F17" s="4" t="s">
        <v>16</v>
      </c>
      <c r="G17" s="5" t="s">
        <v>18</v>
      </c>
      <c r="H17" s="5" t="s">
        <v>114</v>
      </c>
    </row>
    <row r="18" spans="2:8" x14ac:dyDescent="0.2">
      <c r="B18" s="3">
        <v>2004</v>
      </c>
      <c r="C18" s="3">
        <v>0</v>
      </c>
      <c r="D18" s="3">
        <v>0</v>
      </c>
      <c r="E18" s="3">
        <v>1</v>
      </c>
      <c r="F18" s="4" t="s">
        <v>17</v>
      </c>
      <c r="G18" s="5" t="s">
        <v>18</v>
      </c>
      <c r="H18" s="5" t="s">
        <v>114</v>
      </c>
    </row>
    <row r="19" spans="2:8" x14ac:dyDescent="0.2">
      <c r="B19" s="3">
        <v>2004</v>
      </c>
      <c r="C19" s="3">
        <v>0</v>
      </c>
      <c r="D19" s="3">
        <v>0</v>
      </c>
      <c r="E19" s="3">
        <v>2</v>
      </c>
      <c r="F19" s="4" t="s">
        <v>17</v>
      </c>
      <c r="G19" s="5" t="s">
        <v>18</v>
      </c>
      <c r="H19" s="5" t="s">
        <v>114</v>
      </c>
    </row>
    <row r="20" spans="2:8" x14ac:dyDescent="0.2">
      <c r="B20" s="3">
        <v>2004</v>
      </c>
      <c r="C20" s="3">
        <v>0</v>
      </c>
      <c r="D20" s="3">
        <v>0</v>
      </c>
      <c r="E20" s="3">
        <v>3</v>
      </c>
      <c r="F20" s="4" t="s">
        <v>17</v>
      </c>
      <c r="G20" s="5" t="s">
        <v>18</v>
      </c>
      <c r="H20" s="5" t="s">
        <v>114</v>
      </c>
    </row>
    <row r="21" spans="2:8" x14ac:dyDescent="0.2">
      <c r="B21" s="3">
        <v>2004</v>
      </c>
      <c r="C21" s="3">
        <v>0</v>
      </c>
      <c r="D21" s="3">
        <v>0</v>
      </c>
      <c r="E21" s="3">
        <v>4</v>
      </c>
      <c r="F21" s="4" t="s">
        <v>17</v>
      </c>
      <c r="G21" s="5" t="s">
        <v>18</v>
      </c>
      <c r="H21" s="5" t="s">
        <v>114</v>
      </c>
    </row>
    <row r="22" spans="2:8" x14ac:dyDescent="0.2">
      <c r="B22" s="3">
        <v>2004</v>
      </c>
      <c r="C22" s="3">
        <v>0</v>
      </c>
      <c r="D22" s="3">
        <v>0</v>
      </c>
      <c r="E22" s="3">
        <v>5</v>
      </c>
      <c r="F22" s="4" t="s">
        <v>19</v>
      </c>
      <c r="G22" s="15" t="s">
        <v>98</v>
      </c>
      <c r="H22" s="15" t="s">
        <v>7</v>
      </c>
    </row>
    <row r="23" spans="2:8" x14ac:dyDescent="0.2">
      <c r="B23" s="3">
        <v>2004</v>
      </c>
      <c r="C23" s="3">
        <v>0</v>
      </c>
      <c r="D23" s="3">
        <v>0</v>
      </c>
      <c r="E23" s="3">
        <v>6</v>
      </c>
      <c r="F23" s="4" t="s">
        <v>19</v>
      </c>
      <c r="G23" s="15" t="s">
        <v>98</v>
      </c>
      <c r="H23" s="15" t="s">
        <v>7</v>
      </c>
    </row>
    <row r="24" spans="2:8" x14ac:dyDescent="0.2">
      <c r="B24" s="3">
        <v>2004</v>
      </c>
      <c r="C24" s="3">
        <v>0</v>
      </c>
      <c r="D24" s="3">
        <v>0</v>
      </c>
      <c r="E24" s="3">
        <v>7</v>
      </c>
      <c r="F24" s="4" t="s">
        <v>19</v>
      </c>
      <c r="G24" s="15" t="s">
        <v>98</v>
      </c>
      <c r="H24" s="15" t="s">
        <v>7</v>
      </c>
    </row>
    <row r="25" spans="2:8" x14ac:dyDescent="0.2">
      <c r="B25" s="3">
        <v>2004</v>
      </c>
      <c r="C25" s="3">
        <v>0</v>
      </c>
      <c r="D25" s="3">
        <v>0</v>
      </c>
      <c r="E25" s="3">
        <v>8</v>
      </c>
      <c r="F25" s="4" t="s">
        <v>20</v>
      </c>
      <c r="G25" s="15" t="s">
        <v>15</v>
      </c>
      <c r="H25" s="15" t="s">
        <v>115</v>
      </c>
    </row>
    <row r="26" spans="2:8" x14ac:dyDescent="0.2">
      <c r="B26" s="3">
        <v>2004</v>
      </c>
      <c r="C26" s="3">
        <v>0</v>
      </c>
      <c r="D26" s="3">
        <v>0</v>
      </c>
      <c r="E26" s="3">
        <v>9</v>
      </c>
      <c r="F26" s="4" t="s">
        <v>20</v>
      </c>
      <c r="G26" s="15" t="s">
        <v>15</v>
      </c>
      <c r="H26" s="15" t="s">
        <v>115</v>
      </c>
    </row>
    <row r="27" spans="2:8" x14ac:dyDescent="0.2">
      <c r="B27" s="3">
        <v>2004</v>
      </c>
      <c r="C27" s="3">
        <v>0</v>
      </c>
      <c r="D27" s="3">
        <v>0</v>
      </c>
      <c r="E27" s="3">
        <v>10</v>
      </c>
      <c r="F27" s="4" t="s">
        <v>20</v>
      </c>
      <c r="G27" s="15" t="s">
        <v>15</v>
      </c>
      <c r="H27" s="15" t="s">
        <v>115</v>
      </c>
    </row>
    <row r="28" spans="2:8" x14ac:dyDescent="0.2">
      <c r="B28" s="3">
        <v>2004</v>
      </c>
      <c r="C28" s="3">
        <v>0</v>
      </c>
      <c r="D28" s="3">
        <v>0</v>
      </c>
      <c r="E28" s="3">
        <v>11</v>
      </c>
      <c r="F28" s="4" t="s">
        <v>20</v>
      </c>
      <c r="G28" s="15" t="s">
        <v>15</v>
      </c>
      <c r="H28" s="15" t="s">
        <v>115</v>
      </c>
    </row>
    <row r="29" spans="2:8" x14ac:dyDescent="0.2">
      <c r="B29" s="3">
        <v>2004</v>
      </c>
      <c r="C29" s="3">
        <v>0</v>
      </c>
      <c r="D29" s="3">
        <v>0</v>
      </c>
      <c r="E29" s="3">
        <v>12</v>
      </c>
      <c r="F29" s="4" t="s">
        <v>20</v>
      </c>
      <c r="G29" s="15" t="s">
        <v>15</v>
      </c>
      <c r="H29" s="15" t="s">
        <v>115</v>
      </c>
    </row>
    <row r="30" spans="2:8" x14ac:dyDescent="0.2">
      <c r="B30" s="3">
        <v>2004</v>
      </c>
      <c r="C30" s="3">
        <v>0</v>
      </c>
      <c r="D30" s="3">
        <v>0</v>
      </c>
      <c r="E30" s="3">
        <v>13</v>
      </c>
      <c r="F30" s="4" t="s">
        <v>21</v>
      </c>
      <c r="G30" s="15" t="s">
        <v>98</v>
      </c>
      <c r="H30" s="15" t="s">
        <v>11</v>
      </c>
    </row>
    <row r="31" spans="2:8" x14ac:dyDescent="0.2">
      <c r="B31" s="3">
        <v>2004</v>
      </c>
      <c r="C31" s="3">
        <v>0</v>
      </c>
      <c r="D31" s="3">
        <v>0</v>
      </c>
      <c r="E31" s="3">
        <v>14</v>
      </c>
      <c r="F31" s="4" t="s">
        <v>21</v>
      </c>
      <c r="G31" s="26" t="s">
        <v>98</v>
      </c>
      <c r="H31" s="26" t="s">
        <v>11</v>
      </c>
    </row>
    <row r="32" spans="2:8" x14ac:dyDescent="0.2">
      <c r="B32" s="3">
        <v>2004</v>
      </c>
      <c r="C32" s="3">
        <v>0</v>
      </c>
      <c r="D32" s="3">
        <v>0</v>
      </c>
      <c r="E32" s="3">
        <v>15</v>
      </c>
      <c r="F32" s="4" t="s">
        <v>22</v>
      </c>
      <c r="G32" s="5" t="s">
        <v>98</v>
      </c>
      <c r="H32" s="5" t="s">
        <v>11</v>
      </c>
    </row>
    <row r="33" spans="2:8" x14ac:dyDescent="0.2">
      <c r="B33" s="3">
        <v>2004</v>
      </c>
      <c r="C33" s="3">
        <v>0</v>
      </c>
      <c r="D33" s="3">
        <v>0</v>
      </c>
      <c r="E33" s="3">
        <v>16</v>
      </c>
      <c r="F33" s="4" t="s">
        <v>22</v>
      </c>
      <c r="G33" s="5" t="s">
        <v>98</v>
      </c>
      <c r="H33" s="5" t="s">
        <v>11</v>
      </c>
    </row>
    <row r="34" spans="2:8" x14ac:dyDescent="0.2">
      <c r="B34" s="3">
        <v>2004</v>
      </c>
      <c r="C34" s="3">
        <v>0</v>
      </c>
      <c r="D34" s="3">
        <v>0</v>
      </c>
      <c r="E34" s="3">
        <v>17</v>
      </c>
      <c r="F34" s="4" t="s">
        <v>22</v>
      </c>
      <c r="G34" s="5" t="s">
        <v>98</v>
      </c>
      <c r="H34" s="5" t="s">
        <v>11</v>
      </c>
    </row>
    <row r="35" spans="2:8" x14ac:dyDescent="0.2">
      <c r="B35" s="3">
        <v>2004</v>
      </c>
      <c r="C35" s="3">
        <v>0</v>
      </c>
      <c r="D35" s="3">
        <v>0</v>
      </c>
      <c r="E35" s="3">
        <v>18</v>
      </c>
      <c r="F35" s="4" t="s">
        <v>23</v>
      </c>
      <c r="G35" s="5" t="s">
        <v>98</v>
      </c>
      <c r="H35" s="5" t="s">
        <v>11</v>
      </c>
    </row>
    <row r="36" spans="2:8" x14ac:dyDescent="0.2">
      <c r="B36" s="3">
        <v>2004</v>
      </c>
      <c r="C36" s="3">
        <v>0</v>
      </c>
      <c r="D36" s="3">
        <v>0</v>
      </c>
      <c r="E36" s="3">
        <v>19</v>
      </c>
      <c r="F36" s="4" t="s">
        <v>23</v>
      </c>
      <c r="G36" s="5" t="s">
        <v>98</v>
      </c>
      <c r="H36" s="5" t="s">
        <v>11</v>
      </c>
    </row>
    <row r="37" spans="2:8" x14ac:dyDescent="0.2">
      <c r="B37" s="3">
        <v>2004</v>
      </c>
      <c r="C37" s="3">
        <v>0</v>
      </c>
      <c r="D37" s="3">
        <v>0</v>
      </c>
      <c r="E37" s="3">
        <v>20</v>
      </c>
      <c r="F37" s="4" t="s">
        <v>23</v>
      </c>
      <c r="G37" s="5" t="s">
        <v>98</v>
      </c>
      <c r="H37" s="5" t="s">
        <v>11</v>
      </c>
    </row>
    <row r="38" spans="2:8" x14ac:dyDescent="0.2">
      <c r="B38" s="3">
        <v>2005</v>
      </c>
      <c r="C38" s="3">
        <v>1</v>
      </c>
      <c r="D38" s="3">
        <v>0</v>
      </c>
      <c r="E38" s="3">
        <v>1</v>
      </c>
      <c r="F38" s="4" t="s">
        <v>24</v>
      </c>
      <c r="G38" s="5" t="s">
        <v>15</v>
      </c>
      <c r="H38" s="5" t="s">
        <v>116</v>
      </c>
    </row>
    <row r="39" spans="2:8" x14ac:dyDescent="0.2">
      <c r="B39" s="3">
        <v>2005</v>
      </c>
      <c r="C39" s="3">
        <v>1</v>
      </c>
      <c r="D39" s="3">
        <v>0</v>
      </c>
      <c r="E39" s="3">
        <v>2</v>
      </c>
      <c r="F39" s="4" t="s">
        <v>24</v>
      </c>
      <c r="G39" s="5" t="s">
        <v>15</v>
      </c>
      <c r="H39" s="5" t="s">
        <v>116</v>
      </c>
    </row>
    <row r="40" spans="2:8" x14ac:dyDescent="0.2">
      <c r="B40" s="3">
        <v>2005</v>
      </c>
      <c r="C40" s="3">
        <v>1</v>
      </c>
      <c r="D40" s="3">
        <v>0</v>
      </c>
      <c r="E40" s="3">
        <v>3</v>
      </c>
      <c r="F40" s="4" t="s">
        <v>24</v>
      </c>
      <c r="G40" s="5" t="s">
        <v>15</v>
      </c>
      <c r="H40" s="5" t="s">
        <v>116</v>
      </c>
    </row>
    <row r="41" spans="2:8" x14ac:dyDescent="0.2">
      <c r="B41" s="3">
        <v>2005</v>
      </c>
      <c r="C41" s="3">
        <v>1</v>
      </c>
      <c r="D41" s="3">
        <v>0</v>
      </c>
      <c r="E41" s="3">
        <v>4</v>
      </c>
      <c r="F41" s="4" t="s">
        <v>24</v>
      </c>
      <c r="G41" s="5" t="s">
        <v>15</v>
      </c>
      <c r="H41" s="5" t="s">
        <v>116</v>
      </c>
    </row>
    <row r="42" spans="2:8" x14ac:dyDescent="0.2">
      <c r="B42" s="3">
        <v>2005</v>
      </c>
      <c r="C42" s="3">
        <v>1</v>
      </c>
      <c r="D42" s="3">
        <v>0</v>
      </c>
      <c r="E42" s="3">
        <v>5</v>
      </c>
      <c r="F42" s="4" t="s">
        <v>24</v>
      </c>
      <c r="G42" s="5" t="s">
        <v>15</v>
      </c>
      <c r="H42" s="5" t="s">
        <v>116</v>
      </c>
    </row>
    <row r="43" spans="2:8" x14ac:dyDescent="0.2">
      <c r="B43" s="3">
        <v>2005</v>
      </c>
      <c r="C43" s="3">
        <v>1</v>
      </c>
      <c r="D43" s="3">
        <v>0</v>
      </c>
      <c r="E43" s="3">
        <v>6</v>
      </c>
      <c r="F43" s="4" t="s">
        <v>24</v>
      </c>
      <c r="G43" s="5" t="s">
        <v>15</v>
      </c>
      <c r="H43" s="5" t="s">
        <v>116</v>
      </c>
    </row>
    <row r="44" spans="2:8" x14ac:dyDescent="0.2">
      <c r="B44" s="3">
        <v>2005</v>
      </c>
      <c r="C44" s="3">
        <v>1</v>
      </c>
      <c r="D44" s="3">
        <v>0</v>
      </c>
      <c r="E44" s="3">
        <v>7</v>
      </c>
      <c r="F44" s="4" t="s">
        <v>25</v>
      </c>
      <c r="G44" s="5" t="s">
        <v>18</v>
      </c>
      <c r="H44" s="5" t="s">
        <v>117</v>
      </c>
    </row>
    <row r="45" spans="2:8" x14ac:dyDescent="0.2">
      <c r="B45" s="3">
        <v>2005</v>
      </c>
      <c r="C45" s="3">
        <v>1</v>
      </c>
      <c r="D45" s="3">
        <v>0</v>
      </c>
      <c r="E45" s="3">
        <v>8</v>
      </c>
      <c r="F45" s="4" t="s">
        <v>25</v>
      </c>
      <c r="G45" s="5" t="s">
        <v>18</v>
      </c>
      <c r="H45" s="5" t="s">
        <v>117</v>
      </c>
    </row>
    <row r="46" spans="2:8" x14ac:dyDescent="0.2">
      <c r="B46" s="3">
        <v>2005</v>
      </c>
      <c r="C46" s="3">
        <v>1</v>
      </c>
      <c r="D46" s="3">
        <v>0</v>
      </c>
      <c r="E46" s="3">
        <v>9</v>
      </c>
      <c r="F46" s="4" t="s">
        <v>25</v>
      </c>
      <c r="G46" s="5" t="s">
        <v>18</v>
      </c>
      <c r="H46" s="5" t="s">
        <v>117</v>
      </c>
    </row>
    <row r="47" spans="2:8" x14ac:dyDescent="0.2">
      <c r="B47" s="3">
        <v>2005</v>
      </c>
      <c r="C47" s="3">
        <v>1</v>
      </c>
      <c r="D47" s="3">
        <v>0</v>
      </c>
      <c r="E47" s="3">
        <v>10</v>
      </c>
      <c r="F47" s="4" t="s">
        <v>25</v>
      </c>
      <c r="G47" s="5" t="s">
        <v>18</v>
      </c>
      <c r="H47" s="5" t="s">
        <v>117</v>
      </c>
    </row>
    <row r="48" spans="2:8" x14ac:dyDescent="0.2">
      <c r="B48" s="3">
        <v>2005</v>
      </c>
      <c r="C48" s="3">
        <v>1</v>
      </c>
      <c r="D48" s="3">
        <v>0</v>
      </c>
      <c r="E48" s="3">
        <v>11</v>
      </c>
      <c r="F48" s="4" t="s">
        <v>25</v>
      </c>
      <c r="G48" s="5" t="s">
        <v>18</v>
      </c>
      <c r="H48" s="5" t="s">
        <v>117</v>
      </c>
    </row>
    <row r="49" spans="2:8" x14ac:dyDescent="0.2">
      <c r="B49" s="3">
        <v>2005</v>
      </c>
      <c r="C49" s="3">
        <v>1</v>
      </c>
      <c r="D49" s="3">
        <v>0</v>
      </c>
      <c r="E49" s="3">
        <v>12</v>
      </c>
      <c r="F49" s="4" t="s">
        <v>25</v>
      </c>
      <c r="G49" s="5" t="s">
        <v>18</v>
      </c>
      <c r="H49" s="5" t="s">
        <v>117</v>
      </c>
    </row>
    <row r="50" spans="2:8" x14ac:dyDescent="0.2">
      <c r="B50" s="3">
        <v>2005</v>
      </c>
      <c r="C50" s="3">
        <v>1</v>
      </c>
      <c r="D50" s="3">
        <v>0</v>
      </c>
      <c r="E50" s="3">
        <v>13</v>
      </c>
      <c r="F50" s="4" t="s">
        <v>26</v>
      </c>
      <c r="G50" s="23" t="s">
        <v>98</v>
      </c>
      <c r="H50" s="23" t="s">
        <v>7</v>
      </c>
    </row>
    <row r="51" spans="2:8" x14ac:dyDescent="0.2">
      <c r="B51" s="3">
        <v>2005</v>
      </c>
      <c r="C51" s="3">
        <v>1</v>
      </c>
      <c r="D51" s="3">
        <v>0</v>
      </c>
      <c r="E51" s="3">
        <v>14</v>
      </c>
      <c r="F51" s="4" t="s">
        <v>26</v>
      </c>
      <c r="G51" s="23" t="s">
        <v>98</v>
      </c>
      <c r="H51" s="23" t="s">
        <v>7</v>
      </c>
    </row>
    <row r="52" spans="2:8" x14ac:dyDescent="0.2">
      <c r="B52" s="3">
        <v>2005</v>
      </c>
      <c r="C52" s="3">
        <v>1</v>
      </c>
      <c r="D52" s="3">
        <v>0</v>
      </c>
      <c r="E52" s="3">
        <v>15</v>
      </c>
      <c r="F52" s="4" t="s">
        <v>26</v>
      </c>
      <c r="G52" s="23" t="s">
        <v>98</v>
      </c>
      <c r="H52" s="23" t="s">
        <v>7</v>
      </c>
    </row>
    <row r="53" spans="2:8" x14ac:dyDescent="0.2">
      <c r="B53" s="3">
        <v>2005</v>
      </c>
      <c r="C53" s="3">
        <v>1</v>
      </c>
      <c r="D53" s="3">
        <v>0</v>
      </c>
      <c r="E53" s="3">
        <v>16</v>
      </c>
      <c r="F53" s="4" t="s">
        <v>26</v>
      </c>
      <c r="G53" s="23" t="s">
        <v>98</v>
      </c>
      <c r="H53" s="23" t="s">
        <v>7</v>
      </c>
    </row>
    <row r="54" spans="2:8" x14ac:dyDescent="0.2">
      <c r="B54" s="3">
        <v>2005</v>
      </c>
      <c r="C54" s="3">
        <v>1</v>
      </c>
      <c r="D54" s="3">
        <v>0</v>
      </c>
      <c r="E54" s="3">
        <v>17</v>
      </c>
      <c r="F54" s="4" t="s">
        <v>26</v>
      </c>
      <c r="G54" s="23" t="s">
        <v>98</v>
      </c>
      <c r="H54" s="23" t="s">
        <v>7</v>
      </c>
    </row>
    <row r="55" spans="2:8" x14ac:dyDescent="0.2">
      <c r="B55" s="3">
        <v>2005</v>
      </c>
      <c r="C55" s="3">
        <v>1</v>
      </c>
      <c r="D55" s="3">
        <v>0</v>
      </c>
      <c r="E55" s="3">
        <v>18</v>
      </c>
      <c r="F55" s="4" t="s">
        <v>26</v>
      </c>
      <c r="G55" s="23" t="s">
        <v>98</v>
      </c>
      <c r="H55" s="23" t="s">
        <v>7</v>
      </c>
    </row>
    <row r="56" spans="2:8" x14ac:dyDescent="0.2">
      <c r="B56" s="3">
        <v>2005</v>
      </c>
      <c r="C56" s="3">
        <v>1</v>
      </c>
      <c r="D56" s="3">
        <v>0</v>
      </c>
      <c r="E56" s="3">
        <v>19</v>
      </c>
      <c r="F56" s="4" t="s">
        <v>27</v>
      </c>
      <c r="G56" s="18" t="s">
        <v>98</v>
      </c>
      <c r="H56" s="18" t="s">
        <v>11</v>
      </c>
    </row>
    <row r="57" spans="2:8" x14ac:dyDescent="0.2">
      <c r="B57" s="3">
        <v>2005</v>
      </c>
      <c r="C57" s="3">
        <v>1</v>
      </c>
      <c r="D57" s="3">
        <v>0</v>
      </c>
      <c r="E57" s="3">
        <v>20</v>
      </c>
      <c r="F57" s="4" t="s">
        <v>27</v>
      </c>
      <c r="G57" s="18" t="s">
        <v>98</v>
      </c>
      <c r="H57" s="18" t="s">
        <v>11</v>
      </c>
    </row>
    <row r="58" spans="2:8" x14ac:dyDescent="0.2">
      <c r="B58" s="3">
        <v>2005</v>
      </c>
      <c r="C58" s="3">
        <v>2</v>
      </c>
      <c r="D58" s="3">
        <v>0</v>
      </c>
      <c r="E58" s="3">
        <v>1</v>
      </c>
      <c r="F58" s="4" t="s">
        <v>24</v>
      </c>
      <c r="G58" s="5" t="s">
        <v>15</v>
      </c>
      <c r="H58" s="5" t="s">
        <v>116</v>
      </c>
    </row>
    <row r="59" spans="2:8" x14ac:dyDescent="0.2">
      <c r="B59" s="3">
        <v>2005</v>
      </c>
      <c r="C59" s="3">
        <v>2</v>
      </c>
      <c r="D59" s="3">
        <v>0</v>
      </c>
      <c r="E59" s="3">
        <v>2</v>
      </c>
      <c r="F59" s="4" t="s">
        <v>24</v>
      </c>
      <c r="G59" s="5" t="s">
        <v>15</v>
      </c>
      <c r="H59" s="5" t="s">
        <v>116</v>
      </c>
    </row>
    <row r="60" spans="2:8" x14ac:dyDescent="0.2">
      <c r="B60" s="3">
        <v>2005</v>
      </c>
      <c r="C60" s="3">
        <v>2</v>
      </c>
      <c r="D60" s="3">
        <v>0</v>
      </c>
      <c r="E60" s="3">
        <v>3</v>
      </c>
      <c r="F60" s="4" t="s">
        <v>24</v>
      </c>
      <c r="G60" s="5" t="s">
        <v>15</v>
      </c>
      <c r="H60" s="5" t="s">
        <v>116</v>
      </c>
    </row>
    <row r="61" spans="2:8" x14ac:dyDescent="0.2">
      <c r="B61" s="3">
        <v>2005</v>
      </c>
      <c r="C61" s="3">
        <v>2</v>
      </c>
      <c r="D61" s="3">
        <v>0</v>
      </c>
      <c r="E61" s="3">
        <v>4</v>
      </c>
      <c r="F61" s="4" t="s">
        <v>24</v>
      </c>
      <c r="G61" s="5" t="s">
        <v>15</v>
      </c>
      <c r="H61" s="5" t="s">
        <v>116</v>
      </c>
    </row>
    <row r="62" spans="2:8" x14ac:dyDescent="0.2">
      <c r="B62" s="3">
        <v>2005</v>
      </c>
      <c r="C62" s="3">
        <v>2</v>
      </c>
      <c r="D62" s="3">
        <v>0</v>
      </c>
      <c r="E62" s="3">
        <v>5</v>
      </c>
      <c r="F62" s="4" t="s">
        <v>24</v>
      </c>
      <c r="G62" s="5" t="s">
        <v>15</v>
      </c>
      <c r="H62" s="5" t="s">
        <v>116</v>
      </c>
    </row>
    <row r="63" spans="2:8" x14ac:dyDescent="0.2">
      <c r="B63" s="3">
        <v>2005</v>
      </c>
      <c r="C63" s="3">
        <v>2</v>
      </c>
      <c r="D63" s="3">
        <v>0</v>
      </c>
      <c r="E63" s="3">
        <v>6</v>
      </c>
      <c r="F63" s="4" t="s">
        <v>24</v>
      </c>
      <c r="G63" s="5" t="s">
        <v>15</v>
      </c>
      <c r="H63" s="5" t="s">
        <v>116</v>
      </c>
    </row>
    <row r="64" spans="2:8" x14ac:dyDescent="0.2">
      <c r="B64" s="3">
        <v>2005</v>
      </c>
      <c r="C64" s="3">
        <v>2</v>
      </c>
      <c r="D64" s="3">
        <v>0</v>
      </c>
      <c r="E64" s="3">
        <v>7</v>
      </c>
      <c r="F64" s="4" t="s">
        <v>28</v>
      </c>
      <c r="G64" s="26" t="s">
        <v>18</v>
      </c>
      <c r="H64" s="26" t="s">
        <v>114</v>
      </c>
    </row>
    <row r="65" spans="2:8" x14ac:dyDescent="0.2">
      <c r="B65" s="3">
        <v>2005</v>
      </c>
      <c r="C65" s="3">
        <v>2</v>
      </c>
      <c r="D65" s="3">
        <v>0</v>
      </c>
      <c r="E65" s="3">
        <v>8</v>
      </c>
      <c r="F65" s="4" t="s">
        <v>28</v>
      </c>
      <c r="G65" s="26" t="s">
        <v>18</v>
      </c>
      <c r="H65" s="26" t="s">
        <v>114</v>
      </c>
    </row>
    <row r="66" spans="2:8" x14ac:dyDescent="0.2">
      <c r="B66" s="3">
        <v>2005</v>
      </c>
      <c r="C66" s="3">
        <v>2</v>
      </c>
      <c r="D66" s="3">
        <v>0</v>
      </c>
      <c r="E66" s="3">
        <v>9</v>
      </c>
      <c r="F66" s="4" t="s">
        <v>28</v>
      </c>
      <c r="G66" s="26" t="s">
        <v>18</v>
      </c>
      <c r="H66" s="26" t="s">
        <v>114</v>
      </c>
    </row>
    <row r="67" spans="2:8" x14ac:dyDescent="0.2">
      <c r="B67" s="3">
        <v>2005</v>
      </c>
      <c r="C67" s="3">
        <v>2</v>
      </c>
      <c r="D67" s="3">
        <v>0</v>
      </c>
      <c r="E67" s="3">
        <v>10</v>
      </c>
      <c r="F67" s="4" t="s">
        <v>28</v>
      </c>
      <c r="G67" s="26" t="s">
        <v>18</v>
      </c>
      <c r="H67" s="26" t="s">
        <v>114</v>
      </c>
    </row>
    <row r="68" spans="2:8" x14ac:dyDescent="0.2">
      <c r="B68" s="3">
        <v>2005</v>
      </c>
      <c r="C68" s="3">
        <v>2</v>
      </c>
      <c r="D68" s="3">
        <v>0</v>
      </c>
      <c r="E68" s="3">
        <v>11</v>
      </c>
      <c r="F68" s="4" t="s">
        <v>28</v>
      </c>
      <c r="G68" s="26" t="s">
        <v>18</v>
      </c>
      <c r="H68" s="26" t="s">
        <v>114</v>
      </c>
    </row>
    <row r="69" spans="2:8" x14ac:dyDescent="0.2">
      <c r="B69" s="3">
        <v>2005</v>
      </c>
      <c r="C69" s="3">
        <v>2</v>
      </c>
      <c r="D69" s="3">
        <v>0</v>
      </c>
      <c r="E69" s="3">
        <v>12</v>
      </c>
      <c r="F69" s="4" t="s">
        <v>28</v>
      </c>
      <c r="G69" s="26" t="s">
        <v>18</v>
      </c>
      <c r="H69" s="26" t="s">
        <v>114</v>
      </c>
    </row>
    <row r="70" spans="2:8" x14ac:dyDescent="0.2">
      <c r="B70" s="3">
        <v>2005</v>
      </c>
      <c r="C70" s="3">
        <v>2</v>
      </c>
      <c r="D70" s="3">
        <v>0</v>
      </c>
      <c r="E70" s="3">
        <v>13</v>
      </c>
      <c r="F70" s="4" t="s">
        <v>29</v>
      </c>
      <c r="G70" s="18" t="s">
        <v>15</v>
      </c>
      <c r="H70" s="18" t="s">
        <v>116</v>
      </c>
    </row>
    <row r="71" spans="2:8" x14ac:dyDescent="0.2">
      <c r="B71" s="3">
        <v>2005</v>
      </c>
      <c r="C71" s="3">
        <v>2</v>
      </c>
      <c r="D71" s="3">
        <v>0</v>
      </c>
      <c r="E71" s="3">
        <v>14</v>
      </c>
      <c r="F71" s="4" t="s">
        <v>29</v>
      </c>
      <c r="G71" s="18" t="s">
        <v>15</v>
      </c>
      <c r="H71" s="18" t="s">
        <v>116</v>
      </c>
    </row>
    <row r="72" spans="2:8" x14ac:dyDescent="0.2">
      <c r="B72" s="3">
        <v>2005</v>
      </c>
      <c r="C72" s="3">
        <v>2</v>
      </c>
      <c r="D72" s="3">
        <v>0</v>
      </c>
      <c r="E72" s="3">
        <v>15</v>
      </c>
      <c r="F72" s="4" t="s">
        <v>29</v>
      </c>
      <c r="G72" s="18" t="s">
        <v>15</v>
      </c>
      <c r="H72" s="18" t="s">
        <v>116</v>
      </c>
    </row>
    <row r="73" spans="2:8" x14ac:dyDescent="0.2">
      <c r="B73" s="3">
        <v>2005</v>
      </c>
      <c r="C73" s="3">
        <v>2</v>
      </c>
      <c r="D73" s="3">
        <v>0</v>
      </c>
      <c r="E73" s="3">
        <v>16</v>
      </c>
      <c r="F73" s="4" t="s">
        <v>29</v>
      </c>
      <c r="G73" s="18" t="s">
        <v>15</v>
      </c>
      <c r="H73" s="18" t="s">
        <v>116</v>
      </c>
    </row>
    <row r="74" spans="2:8" x14ac:dyDescent="0.2">
      <c r="B74" s="3">
        <v>2005</v>
      </c>
      <c r="C74" s="3">
        <v>2</v>
      </c>
      <c r="D74" s="3">
        <v>0</v>
      </c>
      <c r="E74" s="3">
        <v>17</v>
      </c>
      <c r="F74" s="4" t="s">
        <v>29</v>
      </c>
      <c r="G74" s="18" t="s">
        <v>15</v>
      </c>
      <c r="H74" s="18" t="s">
        <v>116</v>
      </c>
    </row>
    <row r="75" spans="2:8" x14ac:dyDescent="0.2">
      <c r="B75" s="3">
        <v>2005</v>
      </c>
      <c r="C75" s="3">
        <v>2</v>
      </c>
      <c r="D75" s="3">
        <v>0</v>
      </c>
      <c r="E75" s="3">
        <v>18</v>
      </c>
      <c r="F75" s="4" t="s">
        <v>29</v>
      </c>
      <c r="G75" s="18" t="s">
        <v>15</v>
      </c>
      <c r="H75" s="18" t="s">
        <v>116</v>
      </c>
    </row>
    <row r="76" spans="2:8" x14ac:dyDescent="0.2">
      <c r="B76" s="3">
        <v>2005</v>
      </c>
      <c r="C76" s="3">
        <v>2</v>
      </c>
      <c r="D76" s="3">
        <v>0</v>
      </c>
      <c r="E76" s="3">
        <v>19</v>
      </c>
      <c r="F76" s="4" t="s">
        <v>27</v>
      </c>
      <c r="G76" s="18" t="s">
        <v>98</v>
      </c>
      <c r="H76" s="18" t="s">
        <v>11</v>
      </c>
    </row>
    <row r="77" spans="2:8" x14ac:dyDescent="0.2">
      <c r="B77" s="3">
        <v>2005</v>
      </c>
      <c r="C77" s="3">
        <v>2</v>
      </c>
      <c r="D77" s="3">
        <v>0</v>
      </c>
      <c r="E77" s="3">
        <v>20</v>
      </c>
      <c r="F77" s="4" t="s">
        <v>27</v>
      </c>
      <c r="G77" s="18" t="s">
        <v>98</v>
      </c>
      <c r="H77" s="18" t="s">
        <v>11</v>
      </c>
    </row>
    <row r="78" spans="2:8" x14ac:dyDescent="0.2">
      <c r="B78" s="3">
        <v>2005</v>
      </c>
      <c r="C78" s="3">
        <v>2</v>
      </c>
      <c r="D78" s="3">
        <v>0</v>
      </c>
      <c r="E78" s="3">
        <v>21</v>
      </c>
      <c r="F78" s="4" t="s">
        <v>27</v>
      </c>
      <c r="G78" s="18" t="s">
        <v>98</v>
      </c>
      <c r="H78" s="18" t="s">
        <v>11</v>
      </c>
    </row>
    <row r="79" spans="2:8" x14ac:dyDescent="0.2">
      <c r="B79" s="3">
        <v>2005</v>
      </c>
      <c r="C79" s="3">
        <v>2</v>
      </c>
      <c r="D79" s="3">
        <v>0</v>
      </c>
      <c r="E79" s="3">
        <v>22</v>
      </c>
      <c r="F79" s="4" t="s">
        <v>27</v>
      </c>
      <c r="G79" s="18" t="s">
        <v>98</v>
      </c>
      <c r="H79" s="18" t="s">
        <v>11</v>
      </c>
    </row>
    <row r="80" spans="2:8" x14ac:dyDescent="0.2">
      <c r="B80" s="3">
        <v>2006</v>
      </c>
      <c r="C80" s="3">
        <v>1</v>
      </c>
      <c r="D80" s="3">
        <v>1</v>
      </c>
      <c r="E80" s="3">
        <v>1</v>
      </c>
      <c r="F80" s="4" t="s">
        <v>30</v>
      </c>
      <c r="G80" s="5" t="s">
        <v>18</v>
      </c>
      <c r="H80" s="5" t="s">
        <v>114</v>
      </c>
    </row>
    <row r="81" spans="2:8" x14ac:dyDescent="0.2">
      <c r="B81" s="3">
        <v>2006</v>
      </c>
      <c r="C81" s="3">
        <v>1</v>
      </c>
      <c r="D81" s="3">
        <v>1</v>
      </c>
      <c r="E81" s="3">
        <v>2</v>
      </c>
      <c r="F81" s="4" t="s">
        <v>30</v>
      </c>
      <c r="G81" s="5" t="s">
        <v>18</v>
      </c>
      <c r="H81" s="5" t="s">
        <v>114</v>
      </c>
    </row>
    <row r="82" spans="2:8" x14ac:dyDescent="0.2">
      <c r="B82" s="3">
        <v>2006</v>
      </c>
      <c r="C82" s="3">
        <v>1</v>
      </c>
      <c r="D82" s="3">
        <v>1</v>
      </c>
      <c r="E82" s="3">
        <v>3</v>
      </c>
      <c r="F82" s="4" t="s">
        <v>30</v>
      </c>
      <c r="G82" s="5" t="s">
        <v>18</v>
      </c>
      <c r="H82" s="5" t="s">
        <v>114</v>
      </c>
    </row>
    <row r="83" spans="2:8" x14ac:dyDescent="0.2">
      <c r="B83" s="3">
        <v>2006</v>
      </c>
      <c r="C83" s="3">
        <v>1</v>
      </c>
      <c r="D83" s="3">
        <v>1</v>
      </c>
      <c r="E83" s="3">
        <v>4</v>
      </c>
      <c r="F83" s="4" t="s">
        <v>30</v>
      </c>
      <c r="G83" s="5" t="s">
        <v>18</v>
      </c>
      <c r="H83" s="5" t="s">
        <v>114</v>
      </c>
    </row>
    <row r="84" spans="2:8" x14ac:dyDescent="0.2">
      <c r="B84" s="3">
        <v>2006</v>
      </c>
      <c r="C84" s="3">
        <v>1</v>
      </c>
      <c r="D84" s="3">
        <v>1</v>
      </c>
      <c r="E84" s="3">
        <v>5</v>
      </c>
      <c r="F84" s="4" t="s">
        <v>30</v>
      </c>
      <c r="G84" s="5" t="s">
        <v>18</v>
      </c>
      <c r="H84" s="5" t="s">
        <v>114</v>
      </c>
    </row>
    <row r="85" spans="2:8" x14ac:dyDescent="0.2">
      <c r="B85" s="3">
        <v>2006</v>
      </c>
      <c r="C85" s="3">
        <v>1</v>
      </c>
      <c r="D85" s="3">
        <v>1</v>
      </c>
      <c r="E85" s="3">
        <v>6</v>
      </c>
      <c r="F85" s="4" t="s">
        <v>30</v>
      </c>
      <c r="G85" s="5" t="s">
        <v>18</v>
      </c>
      <c r="H85" s="5" t="s">
        <v>114</v>
      </c>
    </row>
    <row r="86" spans="2:8" x14ac:dyDescent="0.2">
      <c r="B86" s="3">
        <v>2006</v>
      </c>
      <c r="C86" s="3">
        <v>1</v>
      </c>
      <c r="D86" s="3">
        <v>1</v>
      </c>
      <c r="E86" s="3">
        <v>7</v>
      </c>
      <c r="F86" s="4" t="s">
        <v>31</v>
      </c>
      <c r="G86" s="5" t="s">
        <v>98</v>
      </c>
      <c r="H86" s="5" t="s">
        <v>11</v>
      </c>
    </row>
    <row r="87" spans="2:8" x14ac:dyDescent="0.2">
      <c r="B87" s="3">
        <v>2006</v>
      </c>
      <c r="C87" s="3">
        <v>1</v>
      </c>
      <c r="D87" s="3">
        <v>1</v>
      </c>
      <c r="E87" s="3">
        <v>8</v>
      </c>
      <c r="F87" s="4" t="s">
        <v>31</v>
      </c>
      <c r="G87" s="5" t="s">
        <v>98</v>
      </c>
      <c r="H87" s="5" t="s">
        <v>11</v>
      </c>
    </row>
    <row r="88" spans="2:8" x14ac:dyDescent="0.2">
      <c r="B88" s="3">
        <v>2006</v>
      </c>
      <c r="C88" s="3">
        <v>1</v>
      </c>
      <c r="D88" s="3">
        <v>1</v>
      </c>
      <c r="E88" s="3">
        <v>9</v>
      </c>
      <c r="F88" s="4" t="s">
        <v>31</v>
      </c>
      <c r="G88" s="5" t="s">
        <v>98</v>
      </c>
      <c r="H88" s="5" t="s">
        <v>11</v>
      </c>
    </row>
    <row r="89" spans="2:8" x14ac:dyDescent="0.2">
      <c r="B89" s="3">
        <v>2006</v>
      </c>
      <c r="C89" s="3">
        <v>1</v>
      </c>
      <c r="D89" s="3">
        <v>1</v>
      </c>
      <c r="E89" s="3">
        <v>10</v>
      </c>
      <c r="F89" s="4" t="s">
        <v>32</v>
      </c>
      <c r="G89" s="26" t="s">
        <v>18</v>
      </c>
      <c r="H89" s="26" t="s">
        <v>111</v>
      </c>
    </row>
    <row r="90" spans="2:8" x14ac:dyDescent="0.2">
      <c r="B90" s="3">
        <v>2006</v>
      </c>
      <c r="C90" s="3">
        <v>1</v>
      </c>
      <c r="D90" s="3">
        <v>1</v>
      </c>
      <c r="E90" s="3">
        <v>11</v>
      </c>
      <c r="F90" s="4" t="s">
        <v>32</v>
      </c>
      <c r="G90" s="26" t="s">
        <v>18</v>
      </c>
      <c r="H90" s="26" t="s">
        <v>111</v>
      </c>
    </row>
    <row r="91" spans="2:8" x14ac:dyDescent="0.2">
      <c r="B91" s="3">
        <v>2006</v>
      </c>
      <c r="C91" s="3">
        <v>1</v>
      </c>
      <c r="D91" s="3">
        <v>1</v>
      </c>
      <c r="E91" s="3">
        <v>12</v>
      </c>
      <c r="F91" s="4" t="s">
        <v>32</v>
      </c>
      <c r="G91" s="26" t="s">
        <v>18</v>
      </c>
      <c r="H91" s="26" t="s">
        <v>111</v>
      </c>
    </row>
    <row r="92" spans="2:8" x14ac:dyDescent="0.2">
      <c r="B92" s="3">
        <v>2006</v>
      </c>
      <c r="C92" s="3">
        <v>1</v>
      </c>
      <c r="D92" s="3">
        <v>1</v>
      </c>
      <c r="E92" s="3">
        <v>13</v>
      </c>
      <c r="F92" s="4" t="s">
        <v>32</v>
      </c>
      <c r="G92" s="26" t="s">
        <v>18</v>
      </c>
      <c r="H92" s="26" t="s">
        <v>111</v>
      </c>
    </row>
    <row r="93" spans="2:8" x14ac:dyDescent="0.2">
      <c r="B93" s="3">
        <v>2006</v>
      </c>
      <c r="C93" s="3">
        <v>1</v>
      </c>
      <c r="D93" s="3">
        <v>1</v>
      </c>
      <c r="E93" s="3">
        <v>14</v>
      </c>
      <c r="F93" s="4" t="s">
        <v>33</v>
      </c>
      <c r="G93" s="15" t="s">
        <v>98</v>
      </c>
      <c r="H93" s="15" t="s">
        <v>11</v>
      </c>
    </row>
    <row r="94" spans="2:8" x14ac:dyDescent="0.2">
      <c r="B94" s="3">
        <v>2006</v>
      </c>
      <c r="C94" s="3">
        <v>1</v>
      </c>
      <c r="D94" s="3">
        <v>1</v>
      </c>
      <c r="E94" s="3">
        <v>15</v>
      </c>
      <c r="F94" s="4" t="s">
        <v>33</v>
      </c>
      <c r="G94" s="15" t="s">
        <v>98</v>
      </c>
      <c r="H94" s="15" t="s">
        <v>11</v>
      </c>
    </row>
    <row r="95" spans="2:8" x14ac:dyDescent="0.2">
      <c r="B95" s="3">
        <v>2006</v>
      </c>
      <c r="C95" s="3">
        <v>1</v>
      </c>
      <c r="D95" s="3">
        <v>1</v>
      </c>
      <c r="E95" s="3">
        <v>16</v>
      </c>
      <c r="F95" s="4" t="s">
        <v>33</v>
      </c>
      <c r="G95" s="15" t="s">
        <v>98</v>
      </c>
      <c r="H95" s="15" t="s">
        <v>11</v>
      </c>
    </row>
    <row r="96" spans="2:8" x14ac:dyDescent="0.2">
      <c r="B96" s="3">
        <v>2006</v>
      </c>
      <c r="C96" s="3">
        <v>2</v>
      </c>
      <c r="D96" s="3">
        <v>1</v>
      </c>
      <c r="E96" s="3">
        <v>1</v>
      </c>
      <c r="F96" s="4" t="s">
        <v>34</v>
      </c>
      <c r="G96" s="5" t="s">
        <v>18</v>
      </c>
      <c r="H96" s="5" t="s">
        <v>114</v>
      </c>
    </row>
    <row r="97" spans="2:8" x14ac:dyDescent="0.2">
      <c r="B97" s="3">
        <v>2006</v>
      </c>
      <c r="C97" s="3">
        <v>2</v>
      </c>
      <c r="D97" s="3">
        <v>1</v>
      </c>
      <c r="E97" s="3">
        <v>2</v>
      </c>
      <c r="F97" s="4" t="s">
        <v>34</v>
      </c>
      <c r="G97" s="5" t="s">
        <v>18</v>
      </c>
      <c r="H97" s="5" t="s">
        <v>114</v>
      </c>
    </row>
    <row r="98" spans="2:8" x14ac:dyDescent="0.2">
      <c r="B98" s="3">
        <v>2006</v>
      </c>
      <c r="C98" s="3">
        <v>2</v>
      </c>
      <c r="D98" s="3">
        <v>1</v>
      </c>
      <c r="E98" s="3">
        <v>3</v>
      </c>
      <c r="F98" s="4" t="s">
        <v>34</v>
      </c>
      <c r="G98" s="5" t="s">
        <v>18</v>
      </c>
      <c r="H98" s="5" t="s">
        <v>114</v>
      </c>
    </row>
    <row r="99" spans="2:8" x14ac:dyDescent="0.2">
      <c r="B99" s="3">
        <v>2006</v>
      </c>
      <c r="C99" s="3">
        <v>2</v>
      </c>
      <c r="D99" s="3">
        <v>1</v>
      </c>
      <c r="E99" s="3">
        <v>4</v>
      </c>
      <c r="F99" s="4" t="s">
        <v>34</v>
      </c>
      <c r="G99" s="5" t="s">
        <v>18</v>
      </c>
      <c r="H99" s="5" t="s">
        <v>114</v>
      </c>
    </row>
    <row r="100" spans="2:8" x14ac:dyDescent="0.2">
      <c r="B100" s="3">
        <v>2006</v>
      </c>
      <c r="C100" s="3">
        <v>2</v>
      </c>
      <c r="D100" s="3">
        <v>1</v>
      </c>
      <c r="E100" s="3">
        <v>5</v>
      </c>
      <c r="F100" s="4" t="s">
        <v>34</v>
      </c>
      <c r="G100" s="5" t="s">
        <v>18</v>
      </c>
      <c r="H100" s="5" t="s">
        <v>114</v>
      </c>
    </row>
    <row r="101" spans="2:8" x14ac:dyDescent="0.2">
      <c r="B101" s="3">
        <v>2006</v>
      </c>
      <c r="C101" s="3">
        <v>2</v>
      </c>
      <c r="D101" s="3">
        <v>1</v>
      </c>
      <c r="E101" s="3">
        <v>6</v>
      </c>
      <c r="F101" s="4" t="s">
        <v>35</v>
      </c>
      <c r="G101" s="15" t="s">
        <v>15</v>
      </c>
      <c r="H101" s="15" t="s">
        <v>115</v>
      </c>
    </row>
    <row r="102" spans="2:8" x14ac:dyDescent="0.2">
      <c r="B102" s="3">
        <v>2006</v>
      </c>
      <c r="C102" s="3">
        <v>2</v>
      </c>
      <c r="D102" s="3">
        <v>1</v>
      </c>
      <c r="E102" s="3">
        <v>7</v>
      </c>
      <c r="F102" s="4" t="s">
        <v>35</v>
      </c>
      <c r="G102" s="15" t="s">
        <v>15</v>
      </c>
      <c r="H102" s="15" t="s">
        <v>115</v>
      </c>
    </row>
    <row r="103" spans="2:8" x14ac:dyDescent="0.2">
      <c r="B103" s="3">
        <v>2006</v>
      </c>
      <c r="C103" s="3">
        <v>2</v>
      </c>
      <c r="D103" s="3">
        <v>1</v>
      </c>
      <c r="E103" s="3">
        <v>8</v>
      </c>
      <c r="F103" s="4" t="s">
        <v>35</v>
      </c>
      <c r="G103" s="15" t="s">
        <v>15</v>
      </c>
      <c r="H103" s="15" t="s">
        <v>115</v>
      </c>
    </row>
    <row r="104" spans="2:8" x14ac:dyDescent="0.2">
      <c r="B104" s="3">
        <v>2006</v>
      </c>
      <c r="C104" s="3">
        <v>2</v>
      </c>
      <c r="D104" s="3">
        <v>1</v>
      </c>
      <c r="E104" s="3">
        <v>9</v>
      </c>
      <c r="F104" s="4" t="s">
        <v>35</v>
      </c>
      <c r="G104" s="15" t="s">
        <v>15</v>
      </c>
      <c r="H104" s="15" t="s">
        <v>115</v>
      </c>
    </row>
    <row r="105" spans="2:8" x14ac:dyDescent="0.2">
      <c r="B105" s="3">
        <v>2006</v>
      </c>
      <c r="C105" s="3">
        <v>2</v>
      </c>
      <c r="D105" s="3">
        <v>1</v>
      </c>
      <c r="E105" s="3">
        <v>10</v>
      </c>
      <c r="F105" s="4" t="s">
        <v>36</v>
      </c>
      <c r="G105" s="15" t="s">
        <v>15</v>
      </c>
      <c r="H105" s="15" t="s">
        <v>115</v>
      </c>
    </row>
    <row r="106" spans="2:8" x14ac:dyDescent="0.2">
      <c r="B106" s="3">
        <v>2006</v>
      </c>
      <c r="C106" s="3">
        <v>2</v>
      </c>
      <c r="D106" s="3">
        <v>1</v>
      </c>
      <c r="E106" s="3">
        <v>11</v>
      </c>
      <c r="F106" s="4" t="s">
        <v>36</v>
      </c>
      <c r="G106" s="15" t="s">
        <v>15</v>
      </c>
      <c r="H106" s="15" t="s">
        <v>115</v>
      </c>
    </row>
    <row r="107" spans="2:8" x14ac:dyDescent="0.2">
      <c r="B107" s="3">
        <v>2006</v>
      </c>
      <c r="C107" s="3">
        <v>2</v>
      </c>
      <c r="D107" s="3">
        <v>1</v>
      </c>
      <c r="E107" s="3">
        <v>12</v>
      </c>
      <c r="F107" s="4" t="s">
        <v>36</v>
      </c>
      <c r="G107" s="15" t="s">
        <v>15</v>
      </c>
      <c r="H107" s="15" t="s">
        <v>115</v>
      </c>
    </row>
    <row r="108" spans="2:8" x14ac:dyDescent="0.2">
      <c r="B108" s="3">
        <v>2006</v>
      </c>
      <c r="C108" s="3">
        <v>2</v>
      </c>
      <c r="D108" s="3">
        <v>1</v>
      </c>
      <c r="E108" s="3">
        <v>13</v>
      </c>
      <c r="F108" s="4" t="s">
        <v>36</v>
      </c>
      <c r="G108" s="15" t="s">
        <v>15</v>
      </c>
      <c r="H108" s="15" t="s">
        <v>115</v>
      </c>
    </row>
    <row r="109" spans="2:8" x14ac:dyDescent="0.2">
      <c r="B109" s="3">
        <v>2006</v>
      </c>
      <c r="C109" s="3">
        <v>2</v>
      </c>
      <c r="D109" s="3">
        <v>1</v>
      </c>
      <c r="E109" s="3">
        <v>14</v>
      </c>
      <c r="F109" s="4" t="s">
        <v>36</v>
      </c>
      <c r="G109" s="15" t="s">
        <v>15</v>
      </c>
      <c r="H109" s="15" t="s">
        <v>115</v>
      </c>
    </row>
    <row r="110" spans="2:8" x14ac:dyDescent="0.2">
      <c r="B110" s="3">
        <v>2006</v>
      </c>
      <c r="C110" s="3">
        <v>2</v>
      </c>
      <c r="D110" s="3">
        <v>1</v>
      </c>
      <c r="E110" s="3">
        <v>15</v>
      </c>
      <c r="F110" s="4" t="s">
        <v>31</v>
      </c>
      <c r="G110" s="5" t="s">
        <v>98</v>
      </c>
      <c r="H110" s="5" t="s">
        <v>11</v>
      </c>
    </row>
    <row r="111" spans="2:8" x14ac:dyDescent="0.2">
      <c r="B111" s="3">
        <v>2006</v>
      </c>
      <c r="C111" s="3">
        <v>2</v>
      </c>
      <c r="D111" s="3">
        <v>1</v>
      </c>
      <c r="E111" s="3">
        <v>16</v>
      </c>
      <c r="F111" s="4" t="s">
        <v>31</v>
      </c>
      <c r="G111" s="5" t="s">
        <v>98</v>
      </c>
      <c r="H111" s="5" t="s">
        <v>11</v>
      </c>
    </row>
    <row r="112" spans="2:8" x14ac:dyDescent="0.2">
      <c r="B112" s="3">
        <v>2006</v>
      </c>
      <c r="C112" s="3">
        <v>2</v>
      </c>
      <c r="D112" s="3">
        <v>1</v>
      </c>
      <c r="E112" s="3">
        <v>17</v>
      </c>
      <c r="F112" s="4" t="s">
        <v>31</v>
      </c>
      <c r="G112" s="5" t="s">
        <v>98</v>
      </c>
      <c r="H112" s="5" t="s">
        <v>11</v>
      </c>
    </row>
    <row r="113" spans="2:8" x14ac:dyDescent="0.2">
      <c r="B113" s="3">
        <v>2006</v>
      </c>
      <c r="C113" s="3">
        <v>2</v>
      </c>
      <c r="D113" s="3">
        <v>1</v>
      </c>
      <c r="E113" s="3">
        <v>18</v>
      </c>
      <c r="F113" s="4" t="s">
        <v>33</v>
      </c>
      <c r="G113" s="5" t="s">
        <v>98</v>
      </c>
      <c r="H113" s="5" t="s">
        <v>11</v>
      </c>
    </row>
    <row r="114" spans="2:8" x14ac:dyDescent="0.2">
      <c r="B114" s="3">
        <v>2006</v>
      </c>
      <c r="C114" s="3">
        <v>2</v>
      </c>
      <c r="D114" s="3">
        <v>1</v>
      </c>
      <c r="E114" s="3">
        <v>19</v>
      </c>
      <c r="F114" s="4" t="s">
        <v>33</v>
      </c>
      <c r="G114" s="15" t="s">
        <v>98</v>
      </c>
      <c r="H114" s="15" t="s">
        <v>11</v>
      </c>
    </row>
    <row r="115" spans="2:8" x14ac:dyDescent="0.2">
      <c r="B115" s="3">
        <v>2006</v>
      </c>
      <c r="C115" s="3">
        <v>2</v>
      </c>
      <c r="D115" s="3">
        <v>1</v>
      </c>
      <c r="E115" s="3">
        <v>20</v>
      </c>
      <c r="F115" s="4" t="s">
        <v>33</v>
      </c>
      <c r="G115" s="15" t="s">
        <v>98</v>
      </c>
      <c r="H115" s="15" t="s">
        <v>11</v>
      </c>
    </row>
    <row r="116" spans="2:8" x14ac:dyDescent="0.2">
      <c r="B116" s="3">
        <v>2006</v>
      </c>
      <c r="C116" s="3">
        <v>2</v>
      </c>
      <c r="D116" s="3">
        <v>1</v>
      </c>
      <c r="E116" s="3">
        <v>21</v>
      </c>
      <c r="F116" s="4" t="s">
        <v>33</v>
      </c>
      <c r="G116" s="15" t="s">
        <v>98</v>
      </c>
      <c r="H116" s="15" t="s">
        <v>11</v>
      </c>
    </row>
    <row r="117" spans="2:8" x14ac:dyDescent="0.2">
      <c r="B117" s="3">
        <v>2006</v>
      </c>
      <c r="C117" s="3">
        <v>2</v>
      </c>
      <c r="D117" s="3">
        <v>1</v>
      </c>
      <c r="E117" s="3">
        <v>22</v>
      </c>
      <c r="F117" s="4" t="s">
        <v>118</v>
      </c>
      <c r="G117" s="5" t="s">
        <v>98</v>
      </c>
      <c r="H117" s="5" t="s">
        <v>7</v>
      </c>
    </row>
    <row r="118" spans="2:8" x14ac:dyDescent="0.2">
      <c r="B118" s="3">
        <v>2006</v>
      </c>
      <c r="C118" s="3">
        <v>1</v>
      </c>
      <c r="D118" s="3">
        <v>2</v>
      </c>
      <c r="E118" s="3">
        <v>1</v>
      </c>
      <c r="F118" s="4" t="s">
        <v>39</v>
      </c>
      <c r="G118" s="5" t="s">
        <v>15</v>
      </c>
      <c r="H118" s="5" t="s">
        <v>115</v>
      </c>
    </row>
    <row r="119" spans="2:8" x14ac:dyDescent="0.2">
      <c r="B119" s="3">
        <v>2006</v>
      </c>
      <c r="C119" s="3">
        <v>1</v>
      </c>
      <c r="D119" s="3">
        <v>2</v>
      </c>
      <c r="E119" s="3">
        <v>2</v>
      </c>
      <c r="F119" s="4" t="s">
        <v>39</v>
      </c>
      <c r="G119" s="5" t="s">
        <v>15</v>
      </c>
      <c r="H119" s="5" t="s">
        <v>115</v>
      </c>
    </row>
    <row r="120" spans="2:8" x14ac:dyDescent="0.2">
      <c r="B120" s="3">
        <v>2006</v>
      </c>
      <c r="C120" s="3">
        <v>1</v>
      </c>
      <c r="D120" s="3">
        <v>2</v>
      </c>
      <c r="E120" s="3">
        <v>3</v>
      </c>
      <c r="F120" s="4" t="s">
        <v>39</v>
      </c>
      <c r="G120" s="5" t="s">
        <v>15</v>
      </c>
      <c r="H120" s="5" t="s">
        <v>115</v>
      </c>
    </row>
    <row r="121" spans="2:8" x14ac:dyDescent="0.2">
      <c r="B121" s="3">
        <v>2006</v>
      </c>
      <c r="C121" s="3">
        <v>1</v>
      </c>
      <c r="D121" s="3">
        <v>2</v>
      </c>
      <c r="E121" s="3">
        <v>4</v>
      </c>
      <c r="F121" s="4" t="s">
        <v>39</v>
      </c>
      <c r="G121" s="5" t="s">
        <v>15</v>
      </c>
      <c r="H121" s="5" t="s">
        <v>115</v>
      </c>
    </row>
    <row r="122" spans="2:8" x14ac:dyDescent="0.2">
      <c r="B122" s="3">
        <v>2006</v>
      </c>
      <c r="C122" s="3">
        <v>1</v>
      </c>
      <c r="D122" s="3">
        <v>2</v>
      </c>
      <c r="E122" s="3">
        <v>5</v>
      </c>
      <c r="F122" s="4" t="s">
        <v>39</v>
      </c>
      <c r="G122" s="5" t="s">
        <v>15</v>
      </c>
      <c r="H122" s="5" t="s">
        <v>115</v>
      </c>
    </row>
    <row r="123" spans="2:8" x14ac:dyDescent="0.2">
      <c r="B123" s="3">
        <v>2006</v>
      </c>
      <c r="C123" s="3">
        <v>1</v>
      </c>
      <c r="D123" s="3">
        <v>2</v>
      </c>
      <c r="E123" s="3">
        <v>6</v>
      </c>
      <c r="F123" s="4" t="s">
        <v>39</v>
      </c>
      <c r="G123" s="5" t="s">
        <v>15</v>
      </c>
      <c r="H123" s="5" t="s">
        <v>115</v>
      </c>
    </row>
    <row r="124" spans="2:8" x14ac:dyDescent="0.2">
      <c r="B124" s="3">
        <v>2006</v>
      </c>
      <c r="C124" s="3">
        <v>1</v>
      </c>
      <c r="D124" s="3">
        <v>2</v>
      </c>
      <c r="E124" s="3">
        <v>7</v>
      </c>
      <c r="F124" s="4" t="s">
        <v>39</v>
      </c>
      <c r="G124" s="5" t="s">
        <v>15</v>
      </c>
      <c r="H124" s="5" t="s">
        <v>115</v>
      </c>
    </row>
    <row r="125" spans="2:8" x14ac:dyDescent="0.2">
      <c r="B125" s="3">
        <v>2006</v>
      </c>
      <c r="C125" s="3">
        <v>1</v>
      </c>
      <c r="D125" s="3">
        <v>2</v>
      </c>
      <c r="E125" s="3">
        <v>8</v>
      </c>
      <c r="F125" s="4" t="s">
        <v>40</v>
      </c>
      <c r="G125" s="26" t="s">
        <v>18</v>
      </c>
      <c r="H125" s="26" t="s">
        <v>114</v>
      </c>
    </row>
    <row r="126" spans="2:8" x14ac:dyDescent="0.2">
      <c r="B126" s="3">
        <v>2006</v>
      </c>
      <c r="C126" s="3">
        <v>1</v>
      </c>
      <c r="D126" s="3">
        <v>2</v>
      </c>
      <c r="E126" s="3">
        <v>9</v>
      </c>
      <c r="F126" s="4" t="s">
        <v>40</v>
      </c>
      <c r="G126" s="26" t="s">
        <v>18</v>
      </c>
      <c r="H126" s="26" t="s">
        <v>114</v>
      </c>
    </row>
    <row r="127" spans="2:8" x14ac:dyDescent="0.2">
      <c r="B127" s="3">
        <v>2006</v>
      </c>
      <c r="C127" s="3">
        <v>1</v>
      </c>
      <c r="D127" s="3">
        <v>2</v>
      </c>
      <c r="E127" s="3">
        <v>10</v>
      </c>
      <c r="F127" s="4" t="s">
        <v>40</v>
      </c>
      <c r="G127" s="26" t="s">
        <v>18</v>
      </c>
      <c r="H127" s="26" t="s">
        <v>114</v>
      </c>
    </row>
    <row r="128" spans="2:8" x14ac:dyDescent="0.2">
      <c r="B128" s="3">
        <v>2006</v>
      </c>
      <c r="C128" s="3">
        <v>1</v>
      </c>
      <c r="D128" s="3">
        <v>2</v>
      </c>
      <c r="E128" s="3">
        <v>11</v>
      </c>
      <c r="F128" s="4" t="s">
        <v>40</v>
      </c>
      <c r="G128" s="26" t="s">
        <v>18</v>
      </c>
      <c r="H128" s="26" t="s">
        <v>114</v>
      </c>
    </row>
    <row r="129" spans="2:8" x14ac:dyDescent="0.2">
      <c r="B129" s="3">
        <v>2006</v>
      </c>
      <c r="C129" s="3">
        <v>1</v>
      </c>
      <c r="D129" s="3">
        <v>2</v>
      </c>
      <c r="E129" s="3">
        <v>12</v>
      </c>
      <c r="F129" s="4" t="s">
        <v>40</v>
      </c>
      <c r="G129" s="26" t="s">
        <v>18</v>
      </c>
      <c r="H129" s="26" t="s">
        <v>114</v>
      </c>
    </row>
    <row r="130" spans="2:8" x14ac:dyDescent="0.2">
      <c r="B130" s="3">
        <v>2006</v>
      </c>
      <c r="C130" s="3">
        <v>1</v>
      </c>
      <c r="D130" s="3">
        <v>2</v>
      </c>
      <c r="E130" s="3">
        <v>13</v>
      </c>
      <c r="F130" s="4" t="s">
        <v>40</v>
      </c>
      <c r="G130" s="26" t="s">
        <v>18</v>
      </c>
      <c r="H130" s="26" t="s">
        <v>114</v>
      </c>
    </row>
    <row r="131" spans="2:8" x14ac:dyDescent="0.2">
      <c r="B131" s="3">
        <v>2006</v>
      </c>
      <c r="C131" s="3">
        <v>1</v>
      </c>
      <c r="D131" s="3">
        <v>2</v>
      </c>
      <c r="E131" s="3">
        <v>14</v>
      </c>
      <c r="F131" s="4" t="s">
        <v>41</v>
      </c>
      <c r="G131" s="15" t="s">
        <v>15</v>
      </c>
      <c r="H131" s="18" t="s">
        <v>116</v>
      </c>
    </row>
    <row r="132" spans="2:8" x14ac:dyDescent="0.2">
      <c r="B132" s="3">
        <v>2006</v>
      </c>
      <c r="C132" s="3">
        <v>1</v>
      </c>
      <c r="D132" s="3">
        <v>2</v>
      </c>
      <c r="E132" s="3">
        <v>15</v>
      </c>
      <c r="F132" s="4" t="s">
        <v>41</v>
      </c>
      <c r="G132" s="15" t="s">
        <v>15</v>
      </c>
      <c r="H132" s="18" t="s">
        <v>116</v>
      </c>
    </row>
    <row r="133" spans="2:8" x14ac:dyDescent="0.2">
      <c r="B133" s="3">
        <v>2006</v>
      </c>
      <c r="C133" s="3">
        <v>1</v>
      </c>
      <c r="D133" s="3">
        <v>2</v>
      </c>
      <c r="E133" s="3">
        <v>16</v>
      </c>
      <c r="F133" s="4" t="s">
        <v>41</v>
      </c>
      <c r="G133" s="15" t="s">
        <v>15</v>
      </c>
      <c r="H133" s="18" t="s">
        <v>116</v>
      </c>
    </row>
    <row r="134" spans="2:8" x14ac:dyDescent="0.2">
      <c r="B134" s="3">
        <v>2006</v>
      </c>
      <c r="C134" s="3">
        <v>1</v>
      </c>
      <c r="D134" s="3">
        <v>2</v>
      </c>
      <c r="E134" s="3">
        <v>17</v>
      </c>
      <c r="F134" s="4" t="s">
        <v>41</v>
      </c>
      <c r="G134" s="15" t="s">
        <v>15</v>
      </c>
      <c r="H134" s="18" t="s">
        <v>116</v>
      </c>
    </row>
    <row r="135" spans="2:8" x14ac:dyDescent="0.2">
      <c r="B135" s="3">
        <v>2006</v>
      </c>
      <c r="C135" s="3">
        <v>1</v>
      </c>
      <c r="D135" s="3">
        <v>2</v>
      </c>
      <c r="E135" s="3">
        <v>18</v>
      </c>
      <c r="F135" s="4" t="s">
        <v>41</v>
      </c>
      <c r="G135" s="15" t="s">
        <v>15</v>
      </c>
      <c r="H135" s="18" t="s">
        <v>116</v>
      </c>
    </row>
    <row r="136" spans="2:8" x14ac:dyDescent="0.2">
      <c r="B136" s="3">
        <v>2006</v>
      </c>
      <c r="C136" s="3">
        <v>1</v>
      </c>
      <c r="D136" s="3">
        <v>2</v>
      </c>
      <c r="E136" s="3">
        <v>19</v>
      </c>
      <c r="F136" s="4" t="s">
        <v>41</v>
      </c>
      <c r="G136" s="15" t="s">
        <v>15</v>
      </c>
      <c r="H136" s="18" t="s">
        <v>116</v>
      </c>
    </row>
    <row r="137" spans="2:8" x14ac:dyDescent="0.2">
      <c r="B137" s="3">
        <v>2006</v>
      </c>
      <c r="C137" s="3">
        <v>1</v>
      </c>
      <c r="D137" s="3">
        <v>2</v>
      </c>
      <c r="E137" s="3">
        <v>20</v>
      </c>
      <c r="F137" s="4" t="s">
        <v>42</v>
      </c>
      <c r="G137" s="5" t="s">
        <v>15</v>
      </c>
      <c r="H137" s="5" t="s">
        <v>115</v>
      </c>
    </row>
    <row r="138" spans="2:8" x14ac:dyDescent="0.2">
      <c r="B138" s="3">
        <v>2006</v>
      </c>
      <c r="C138" s="3">
        <v>1</v>
      </c>
      <c r="D138" s="3">
        <v>2</v>
      </c>
      <c r="E138" s="3">
        <v>21</v>
      </c>
      <c r="F138" s="4" t="s">
        <v>42</v>
      </c>
      <c r="G138" s="5" t="s">
        <v>15</v>
      </c>
      <c r="H138" s="5" t="s">
        <v>115</v>
      </c>
    </row>
    <row r="139" spans="2:8" x14ac:dyDescent="0.2">
      <c r="B139" s="3">
        <v>2006</v>
      </c>
      <c r="C139" s="3">
        <v>1</v>
      </c>
      <c r="D139" s="3">
        <v>2</v>
      </c>
      <c r="E139" s="3">
        <v>22</v>
      </c>
      <c r="F139" s="4" t="s">
        <v>42</v>
      </c>
      <c r="G139" s="5" t="s">
        <v>15</v>
      </c>
      <c r="H139" s="5" t="s">
        <v>115</v>
      </c>
    </row>
    <row r="140" spans="2:8" x14ac:dyDescent="0.2">
      <c r="B140" s="3">
        <v>2006</v>
      </c>
      <c r="C140" s="3">
        <v>1</v>
      </c>
      <c r="D140" s="3">
        <v>2</v>
      </c>
      <c r="E140" s="3">
        <v>23</v>
      </c>
      <c r="F140" s="4" t="s">
        <v>42</v>
      </c>
      <c r="G140" s="5" t="s">
        <v>15</v>
      </c>
      <c r="H140" s="5" t="s">
        <v>115</v>
      </c>
    </row>
    <row r="141" spans="2:8" x14ac:dyDescent="0.2">
      <c r="B141" s="3">
        <v>2006</v>
      </c>
      <c r="C141" s="3">
        <v>1</v>
      </c>
      <c r="D141" s="3">
        <v>2</v>
      </c>
      <c r="E141" s="3">
        <v>24</v>
      </c>
      <c r="F141" s="4" t="s">
        <v>43</v>
      </c>
      <c r="G141" s="5" t="s">
        <v>98</v>
      </c>
      <c r="H141" s="5" t="s">
        <v>7</v>
      </c>
    </row>
    <row r="142" spans="2:8" x14ac:dyDescent="0.2">
      <c r="B142" s="3">
        <v>2006</v>
      </c>
      <c r="C142" s="3">
        <v>1</v>
      </c>
      <c r="D142" s="3">
        <v>2</v>
      </c>
      <c r="E142" s="3">
        <v>25</v>
      </c>
      <c r="F142" s="4" t="s">
        <v>43</v>
      </c>
      <c r="G142" s="5" t="s">
        <v>98</v>
      </c>
      <c r="H142" s="5" t="s">
        <v>7</v>
      </c>
    </row>
    <row r="143" spans="2:8" x14ac:dyDescent="0.2">
      <c r="B143" s="3">
        <v>2006</v>
      </c>
      <c r="C143" s="3">
        <v>1</v>
      </c>
      <c r="D143" s="3">
        <v>2</v>
      </c>
      <c r="E143" s="3">
        <v>26</v>
      </c>
      <c r="F143" s="4" t="s">
        <v>44</v>
      </c>
      <c r="G143" s="5" t="s">
        <v>98</v>
      </c>
      <c r="H143" s="5" t="s">
        <v>7</v>
      </c>
    </row>
    <row r="144" spans="2:8" x14ac:dyDescent="0.2">
      <c r="B144" s="3">
        <v>2006</v>
      </c>
      <c r="C144" s="3">
        <v>1</v>
      </c>
      <c r="D144" s="3">
        <v>2</v>
      </c>
      <c r="E144" s="3">
        <v>27</v>
      </c>
      <c r="F144" s="4" t="s">
        <v>44</v>
      </c>
      <c r="G144" s="5" t="s">
        <v>98</v>
      </c>
      <c r="H144" s="5" t="s">
        <v>7</v>
      </c>
    </row>
    <row r="145" spans="2:8" x14ac:dyDescent="0.2">
      <c r="B145" s="3">
        <v>2006</v>
      </c>
      <c r="C145" s="3">
        <v>1</v>
      </c>
      <c r="D145" s="3">
        <v>2</v>
      </c>
      <c r="E145" s="3">
        <v>28</v>
      </c>
      <c r="F145" s="4" t="s">
        <v>44</v>
      </c>
      <c r="G145" s="5" t="s">
        <v>98</v>
      </c>
      <c r="H145" s="5" t="s">
        <v>7</v>
      </c>
    </row>
    <row r="146" spans="2:8" x14ac:dyDescent="0.2">
      <c r="B146" s="3">
        <v>2006</v>
      </c>
      <c r="C146" s="3">
        <v>2</v>
      </c>
      <c r="D146" s="3">
        <v>2</v>
      </c>
      <c r="E146" s="3">
        <v>1</v>
      </c>
      <c r="F146" s="4" t="s">
        <v>45</v>
      </c>
      <c r="G146" s="5" t="s">
        <v>18</v>
      </c>
      <c r="H146" s="5" t="s">
        <v>111</v>
      </c>
    </row>
    <row r="147" spans="2:8" x14ac:dyDescent="0.2">
      <c r="B147" s="3">
        <v>2006</v>
      </c>
      <c r="C147" s="3">
        <v>2</v>
      </c>
      <c r="D147" s="3">
        <v>2</v>
      </c>
      <c r="E147" s="3">
        <v>2</v>
      </c>
      <c r="F147" s="4" t="s">
        <v>45</v>
      </c>
      <c r="G147" s="5" t="s">
        <v>18</v>
      </c>
      <c r="H147" s="5" t="s">
        <v>111</v>
      </c>
    </row>
    <row r="148" spans="2:8" x14ac:dyDescent="0.2">
      <c r="B148" s="3">
        <v>2006</v>
      </c>
      <c r="C148" s="3">
        <v>2</v>
      </c>
      <c r="D148" s="3">
        <v>2</v>
      </c>
      <c r="E148" s="3">
        <v>3</v>
      </c>
      <c r="F148" s="4" t="s">
        <v>45</v>
      </c>
      <c r="G148" s="5" t="s">
        <v>18</v>
      </c>
      <c r="H148" s="5" t="s">
        <v>111</v>
      </c>
    </row>
    <row r="149" spans="2:8" x14ac:dyDescent="0.2">
      <c r="B149" s="3">
        <v>2006</v>
      </c>
      <c r="C149" s="3">
        <v>2</v>
      </c>
      <c r="D149" s="3">
        <v>2</v>
      </c>
      <c r="E149" s="3">
        <v>4</v>
      </c>
      <c r="F149" s="4" t="s">
        <v>45</v>
      </c>
      <c r="G149" s="5" t="s">
        <v>18</v>
      </c>
      <c r="H149" s="5" t="s">
        <v>111</v>
      </c>
    </row>
    <row r="150" spans="2:8" x14ac:dyDescent="0.2">
      <c r="B150" s="3">
        <v>2006</v>
      </c>
      <c r="C150" s="3">
        <v>2</v>
      </c>
      <c r="D150" s="3">
        <v>2</v>
      </c>
      <c r="E150" s="3">
        <v>5</v>
      </c>
      <c r="F150" s="4" t="s">
        <v>45</v>
      </c>
      <c r="G150" s="5" t="s">
        <v>18</v>
      </c>
      <c r="H150" s="5" t="s">
        <v>111</v>
      </c>
    </row>
    <row r="151" spans="2:8" x14ac:dyDescent="0.2">
      <c r="B151" s="3">
        <v>2006</v>
      </c>
      <c r="C151" s="3">
        <v>2</v>
      </c>
      <c r="D151" s="3">
        <v>2</v>
      </c>
      <c r="E151" s="3">
        <v>6</v>
      </c>
      <c r="F151" s="4" t="s">
        <v>45</v>
      </c>
      <c r="G151" s="5" t="s">
        <v>18</v>
      </c>
      <c r="H151" s="5" t="s">
        <v>111</v>
      </c>
    </row>
    <row r="152" spans="2:8" x14ac:dyDescent="0.2">
      <c r="B152" s="3">
        <v>2006</v>
      </c>
      <c r="C152" s="3">
        <v>2</v>
      </c>
      <c r="D152" s="3">
        <v>2</v>
      </c>
      <c r="E152" s="3">
        <v>7</v>
      </c>
      <c r="F152" s="4" t="s">
        <v>46</v>
      </c>
      <c r="G152" s="5" t="s">
        <v>15</v>
      </c>
      <c r="H152" s="18" t="s">
        <v>116</v>
      </c>
    </row>
    <row r="153" spans="2:8" x14ac:dyDescent="0.2">
      <c r="B153" s="3">
        <v>2006</v>
      </c>
      <c r="C153" s="3">
        <v>2</v>
      </c>
      <c r="D153" s="3">
        <v>2</v>
      </c>
      <c r="E153" s="3">
        <v>8</v>
      </c>
      <c r="F153" s="4" t="s">
        <v>46</v>
      </c>
      <c r="G153" s="5" t="s">
        <v>15</v>
      </c>
      <c r="H153" s="18" t="s">
        <v>116</v>
      </c>
    </row>
    <row r="154" spans="2:8" x14ac:dyDescent="0.2">
      <c r="B154" s="3">
        <v>2006</v>
      </c>
      <c r="C154" s="3">
        <v>2</v>
      </c>
      <c r="D154" s="3">
        <v>2</v>
      </c>
      <c r="E154" s="3">
        <v>9</v>
      </c>
      <c r="F154" s="4" t="s">
        <v>46</v>
      </c>
      <c r="G154" s="5" t="s">
        <v>15</v>
      </c>
      <c r="H154" s="18" t="s">
        <v>116</v>
      </c>
    </row>
    <row r="155" spans="2:8" x14ac:dyDescent="0.2">
      <c r="B155" s="3">
        <v>2006</v>
      </c>
      <c r="C155" s="3">
        <v>2</v>
      </c>
      <c r="D155" s="3">
        <v>2</v>
      </c>
      <c r="E155" s="3">
        <v>10</v>
      </c>
      <c r="F155" s="4" t="s">
        <v>46</v>
      </c>
      <c r="G155" s="5" t="s">
        <v>15</v>
      </c>
      <c r="H155" s="18" t="s">
        <v>116</v>
      </c>
    </row>
    <row r="156" spans="2:8" x14ac:dyDescent="0.2">
      <c r="B156" s="3">
        <v>2006</v>
      </c>
      <c r="C156" s="3">
        <v>2</v>
      </c>
      <c r="D156" s="3">
        <v>2</v>
      </c>
      <c r="E156" s="3">
        <v>11</v>
      </c>
      <c r="F156" s="4" t="s">
        <v>46</v>
      </c>
      <c r="G156" s="5" t="s">
        <v>15</v>
      </c>
      <c r="H156" s="18" t="s">
        <v>116</v>
      </c>
    </row>
    <row r="157" spans="2:8" x14ac:dyDescent="0.2">
      <c r="B157" s="3">
        <v>2006</v>
      </c>
      <c r="C157" s="3">
        <v>2</v>
      </c>
      <c r="D157" s="3">
        <v>2</v>
      </c>
      <c r="E157" s="3">
        <v>12</v>
      </c>
      <c r="F157" s="4" t="s">
        <v>42</v>
      </c>
      <c r="G157" s="5" t="s">
        <v>15</v>
      </c>
      <c r="H157" s="5" t="s">
        <v>115</v>
      </c>
    </row>
    <row r="158" spans="2:8" x14ac:dyDescent="0.2">
      <c r="B158" s="3">
        <v>2006</v>
      </c>
      <c r="C158" s="3">
        <v>2</v>
      </c>
      <c r="D158" s="3">
        <v>2</v>
      </c>
      <c r="E158" s="3">
        <v>13</v>
      </c>
      <c r="F158" s="4" t="s">
        <v>42</v>
      </c>
      <c r="G158" s="5" t="s">
        <v>15</v>
      </c>
      <c r="H158" s="5" t="s">
        <v>115</v>
      </c>
    </row>
    <row r="159" spans="2:8" x14ac:dyDescent="0.2">
      <c r="B159" s="3">
        <v>2006</v>
      </c>
      <c r="C159" s="3">
        <v>2</v>
      </c>
      <c r="D159" s="3">
        <v>2</v>
      </c>
      <c r="E159" s="3">
        <v>14</v>
      </c>
      <c r="F159" s="4" t="s">
        <v>42</v>
      </c>
      <c r="G159" s="5" t="s">
        <v>15</v>
      </c>
      <c r="H159" s="5" t="s">
        <v>115</v>
      </c>
    </row>
    <row r="160" spans="2:8" x14ac:dyDescent="0.2">
      <c r="B160" s="3">
        <v>2006</v>
      </c>
      <c r="C160" s="3">
        <v>2</v>
      </c>
      <c r="D160" s="3">
        <v>2</v>
      </c>
      <c r="E160" s="3">
        <v>15</v>
      </c>
      <c r="F160" s="4" t="s">
        <v>42</v>
      </c>
      <c r="G160" s="5" t="s">
        <v>15</v>
      </c>
      <c r="H160" s="5" t="s">
        <v>115</v>
      </c>
    </row>
    <row r="161" spans="2:8" x14ac:dyDescent="0.2">
      <c r="B161" s="3">
        <v>2006</v>
      </c>
      <c r="C161" s="3">
        <v>2</v>
      </c>
      <c r="D161" s="3">
        <v>2</v>
      </c>
      <c r="E161" s="3">
        <v>16</v>
      </c>
      <c r="F161" s="4" t="s">
        <v>47</v>
      </c>
      <c r="G161" s="5" t="s">
        <v>15</v>
      </c>
      <c r="H161" s="18" t="s">
        <v>116</v>
      </c>
    </row>
    <row r="162" spans="2:8" x14ac:dyDescent="0.2">
      <c r="B162" s="3">
        <v>2006</v>
      </c>
      <c r="C162" s="3">
        <v>2</v>
      </c>
      <c r="D162" s="3">
        <v>2</v>
      </c>
      <c r="E162" s="3">
        <v>17</v>
      </c>
      <c r="F162" s="4" t="s">
        <v>47</v>
      </c>
      <c r="G162" s="5" t="s">
        <v>15</v>
      </c>
      <c r="H162" s="18" t="s">
        <v>116</v>
      </c>
    </row>
    <row r="163" spans="2:8" x14ac:dyDescent="0.2">
      <c r="B163" s="3">
        <v>2006</v>
      </c>
      <c r="C163" s="3">
        <v>2</v>
      </c>
      <c r="D163" s="3">
        <v>2</v>
      </c>
      <c r="E163" s="3">
        <v>18</v>
      </c>
      <c r="F163" s="4" t="s">
        <v>47</v>
      </c>
      <c r="G163" s="5" t="s">
        <v>15</v>
      </c>
      <c r="H163" s="18" t="s">
        <v>116</v>
      </c>
    </row>
    <row r="164" spans="2:8" x14ac:dyDescent="0.2">
      <c r="B164" s="3">
        <v>2006</v>
      </c>
      <c r="C164" s="3">
        <v>2</v>
      </c>
      <c r="D164" s="3">
        <v>2</v>
      </c>
      <c r="E164" s="3">
        <v>19</v>
      </c>
      <c r="F164" s="4" t="s">
        <v>47</v>
      </c>
      <c r="G164" s="5" t="s">
        <v>15</v>
      </c>
      <c r="H164" s="18" t="s">
        <v>116</v>
      </c>
    </row>
    <row r="165" spans="2:8" x14ac:dyDescent="0.2">
      <c r="B165" s="3">
        <v>2006</v>
      </c>
      <c r="C165" s="3">
        <v>2</v>
      </c>
      <c r="D165" s="3">
        <v>2</v>
      </c>
      <c r="E165" s="3">
        <v>20</v>
      </c>
      <c r="F165" s="4" t="s">
        <v>47</v>
      </c>
      <c r="G165" s="5" t="s">
        <v>15</v>
      </c>
      <c r="H165" s="18" t="s">
        <v>116</v>
      </c>
    </row>
    <row r="166" spans="2:8" x14ac:dyDescent="0.2">
      <c r="B166" s="3">
        <v>2006</v>
      </c>
      <c r="C166" s="3">
        <v>2</v>
      </c>
      <c r="D166" s="3">
        <v>2</v>
      </c>
      <c r="E166" s="3">
        <v>21</v>
      </c>
      <c r="F166" s="4" t="s">
        <v>47</v>
      </c>
      <c r="G166" s="5" t="s">
        <v>15</v>
      </c>
      <c r="H166" s="18" t="s">
        <v>116</v>
      </c>
    </row>
    <row r="167" spans="2:8" x14ac:dyDescent="0.2">
      <c r="B167" s="3">
        <v>2006</v>
      </c>
      <c r="C167" s="3">
        <v>2</v>
      </c>
      <c r="D167" s="3">
        <v>2</v>
      </c>
      <c r="E167" s="3">
        <v>22</v>
      </c>
      <c r="F167" s="4" t="s">
        <v>48</v>
      </c>
      <c r="G167" s="26" t="s">
        <v>18</v>
      </c>
      <c r="H167" s="26" t="s">
        <v>114</v>
      </c>
    </row>
    <row r="168" spans="2:8" x14ac:dyDescent="0.2">
      <c r="B168" s="3">
        <v>2006</v>
      </c>
      <c r="C168" s="3">
        <v>2</v>
      </c>
      <c r="D168" s="3">
        <v>2</v>
      </c>
      <c r="E168" s="3">
        <v>23</v>
      </c>
      <c r="F168" s="4" t="s">
        <v>48</v>
      </c>
      <c r="G168" s="26" t="s">
        <v>18</v>
      </c>
      <c r="H168" s="26" t="s">
        <v>114</v>
      </c>
    </row>
    <row r="169" spans="2:8" x14ac:dyDescent="0.2">
      <c r="B169" s="3">
        <v>2006</v>
      </c>
      <c r="C169" s="3">
        <v>2</v>
      </c>
      <c r="D169" s="3">
        <v>2</v>
      </c>
      <c r="E169" s="3">
        <v>24</v>
      </c>
      <c r="F169" s="4" t="s">
        <v>48</v>
      </c>
      <c r="G169" s="26" t="s">
        <v>18</v>
      </c>
      <c r="H169" s="26" t="s">
        <v>114</v>
      </c>
    </row>
    <row r="170" spans="2:8" x14ac:dyDescent="0.2">
      <c r="B170" s="3">
        <v>2006</v>
      </c>
      <c r="C170" s="3">
        <v>2</v>
      </c>
      <c r="D170" s="3">
        <v>2</v>
      </c>
      <c r="E170" s="3">
        <v>25</v>
      </c>
      <c r="F170" s="4" t="s">
        <v>48</v>
      </c>
      <c r="G170" s="26" t="s">
        <v>18</v>
      </c>
      <c r="H170" s="26" t="s">
        <v>114</v>
      </c>
    </row>
    <row r="171" spans="2:8" x14ac:dyDescent="0.2">
      <c r="B171" s="3">
        <v>2006</v>
      </c>
      <c r="C171" s="3">
        <v>2</v>
      </c>
      <c r="D171" s="3">
        <v>2</v>
      </c>
      <c r="E171" s="3">
        <v>26</v>
      </c>
      <c r="F171" s="4" t="s">
        <v>48</v>
      </c>
      <c r="G171" s="26" t="s">
        <v>18</v>
      </c>
      <c r="H171" s="26" t="s">
        <v>114</v>
      </c>
    </row>
    <row r="172" spans="2:8" x14ac:dyDescent="0.2">
      <c r="B172" s="3">
        <v>2006</v>
      </c>
      <c r="C172" s="3">
        <v>2</v>
      </c>
      <c r="D172" s="3">
        <v>2</v>
      </c>
      <c r="E172" s="3">
        <v>27</v>
      </c>
      <c r="F172" s="4" t="s">
        <v>48</v>
      </c>
      <c r="G172" s="26" t="s">
        <v>18</v>
      </c>
      <c r="H172" s="26" t="s">
        <v>114</v>
      </c>
    </row>
    <row r="173" spans="2:8" x14ac:dyDescent="0.2">
      <c r="B173" s="3">
        <v>2006</v>
      </c>
      <c r="C173" s="3">
        <v>2</v>
      </c>
      <c r="D173" s="3">
        <v>2</v>
      </c>
      <c r="E173" s="3">
        <v>28</v>
      </c>
      <c r="F173" s="4" t="s">
        <v>48</v>
      </c>
      <c r="G173" s="26" t="s">
        <v>18</v>
      </c>
      <c r="H173" s="26" t="s">
        <v>114</v>
      </c>
    </row>
    <row r="174" spans="2:8" x14ac:dyDescent="0.2">
      <c r="B174" s="3">
        <v>2006</v>
      </c>
      <c r="C174" s="3">
        <v>2</v>
      </c>
      <c r="D174" s="3">
        <v>2</v>
      </c>
      <c r="E174" s="3">
        <v>29</v>
      </c>
      <c r="F174" s="4" t="s">
        <v>44</v>
      </c>
      <c r="G174" s="5" t="s">
        <v>98</v>
      </c>
      <c r="H174" s="5" t="s">
        <v>7</v>
      </c>
    </row>
    <row r="175" spans="2:8" x14ac:dyDescent="0.2">
      <c r="B175" s="3">
        <v>2006</v>
      </c>
      <c r="C175" s="3">
        <v>2</v>
      </c>
      <c r="D175" s="3">
        <v>2</v>
      </c>
      <c r="E175" s="3">
        <v>30</v>
      </c>
      <c r="F175" s="4" t="s">
        <v>44</v>
      </c>
      <c r="G175" s="5" t="s">
        <v>98</v>
      </c>
      <c r="H175" s="5" t="s">
        <v>7</v>
      </c>
    </row>
    <row r="176" spans="2:8" x14ac:dyDescent="0.2">
      <c r="B176" s="3">
        <v>2006</v>
      </c>
      <c r="C176" s="3">
        <v>2</v>
      </c>
      <c r="D176" s="3">
        <v>2</v>
      </c>
      <c r="E176" s="3">
        <v>31</v>
      </c>
      <c r="F176" s="4" t="s">
        <v>44</v>
      </c>
      <c r="G176" s="5" t="s">
        <v>98</v>
      </c>
      <c r="H176" s="5" t="s">
        <v>7</v>
      </c>
    </row>
    <row r="177" spans="2:8" x14ac:dyDescent="0.2">
      <c r="B177" s="3">
        <v>2006</v>
      </c>
      <c r="C177" s="3">
        <v>2</v>
      </c>
      <c r="D177" s="3">
        <v>2</v>
      </c>
      <c r="E177" s="3">
        <v>32</v>
      </c>
      <c r="F177" s="4" t="s">
        <v>49</v>
      </c>
      <c r="G177" s="5" t="s">
        <v>98</v>
      </c>
      <c r="H177" s="5" t="s">
        <v>11</v>
      </c>
    </row>
    <row r="178" spans="2:8" x14ac:dyDescent="0.2">
      <c r="B178" s="3">
        <v>2006</v>
      </c>
      <c r="C178" s="3">
        <v>2</v>
      </c>
      <c r="D178" s="3">
        <v>2</v>
      </c>
      <c r="E178" s="3">
        <v>33</v>
      </c>
      <c r="F178" s="4" t="s">
        <v>49</v>
      </c>
      <c r="G178" s="5" t="s">
        <v>98</v>
      </c>
      <c r="H178" s="5" t="s">
        <v>11</v>
      </c>
    </row>
    <row r="179" spans="2:8" x14ac:dyDescent="0.2">
      <c r="B179" s="3">
        <v>2006</v>
      </c>
      <c r="C179" s="3">
        <v>2</v>
      </c>
      <c r="D179" s="3">
        <v>2</v>
      </c>
      <c r="E179" s="3">
        <v>34</v>
      </c>
      <c r="F179" s="4" t="s">
        <v>49</v>
      </c>
      <c r="G179" s="5" t="s">
        <v>98</v>
      </c>
      <c r="H179" s="5" t="s">
        <v>11</v>
      </c>
    </row>
    <row r="180" spans="2:8" x14ac:dyDescent="0.2">
      <c r="B180" s="3">
        <v>2006</v>
      </c>
      <c r="C180" s="3">
        <v>2</v>
      </c>
      <c r="D180" s="3">
        <v>2</v>
      </c>
      <c r="E180" s="3">
        <v>35</v>
      </c>
      <c r="F180" s="4" t="s">
        <v>49</v>
      </c>
      <c r="G180" s="5" t="s">
        <v>98</v>
      </c>
      <c r="H180" s="5" t="s">
        <v>11</v>
      </c>
    </row>
    <row r="181" spans="2:8" x14ac:dyDescent="0.2">
      <c r="B181" s="3">
        <v>2007</v>
      </c>
      <c r="C181" s="3">
        <v>1</v>
      </c>
      <c r="D181" s="3">
        <v>1</v>
      </c>
      <c r="E181" s="3">
        <v>1</v>
      </c>
      <c r="F181" s="4" t="s">
        <v>50</v>
      </c>
      <c r="G181" s="5" t="s">
        <v>15</v>
      </c>
      <c r="H181" s="5" t="s">
        <v>11</v>
      </c>
    </row>
    <row r="182" spans="2:8" x14ac:dyDescent="0.2">
      <c r="B182" s="3">
        <v>2007</v>
      </c>
      <c r="C182" s="3">
        <v>1</v>
      </c>
      <c r="D182" s="3">
        <v>1</v>
      </c>
      <c r="E182" s="3">
        <v>2</v>
      </c>
      <c r="F182" s="4" t="s">
        <v>50</v>
      </c>
      <c r="G182" s="5" t="s">
        <v>15</v>
      </c>
      <c r="H182" s="5" t="s">
        <v>11</v>
      </c>
    </row>
    <row r="183" spans="2:8" x14ac:dyDescent="0.2">
      <c r="B183" s="3">
        <v>2007</v>
      </c>
      <c r="C183" s="3">
        <v>1</v>
      </c>
      <c r="D183" s="3">
        <v>1</v>
      </c>
      <c r="E183" s="3">
        <v>3</v>
      </c>
      <c r="F183" s="4" t="s">
        <v>50</v>
      </c>
      <c r="G183" s="5" t="s">
        <v>15</v>
      </c>
      <c r="H183" s="5" t="s">
        <v>11</v>
      </c>
    </row>
    <row r="184" spans="2:8" x14ac:dyDescent="0.2">
      <c r="B184" s="3">
        <v>2007</v>
      </c>
      <c r="C184" s="3">
        <v>1</v>
      </c>
      <c r="D184" s="3">
        <v>1</v>
      </c>
      <c r="E184" s="3">
        <v>4</v>
      </c>
      <c r="F184" s="4" t="s">
        <v>50</v>
      </c>
      <c r="G184" s="5" t="s">
        <v>15</v>
      </c>
      <c r="H184" s="5" t="s">
        <v>11</v>
      </c>
    </row>
    <row r="185" spans="2:8" x14ac:dyDescent="0.2">
      <c r="B185" s="3">
        <v>2007</v>
      </c>
      <c r="C185" s="3">
        <v>1</v>
      </c>
      <c r="D185" s="3">
        <v>1</v>
      </c>
      <c r="E185" s="3">
        <v>5</v>
      </c>
      <c r="F185" s="4" t="s">
        <v>50</v>
      </c>
      <c r="G185" s="5" t="s">
        <v>15</v>
      </c>
      <c r="H185" s="5" t="s">
        <v>11</v>
      </c>
    </row>
    <row r="186" spans="2:8" x14ac:dyDescent="0.2">
      <c r="B186" s="3">
        <v>2007</v>
      </c>
      <c r="C186" s="3">
        <v>1</v>
      </c>
      <c r="D186" s="3">
        <v>1</v>
      </c>
      <c r="E186" s="3">
        <v>6</v>
      </c>
      <c r="F186" s="4" t="s">
        <v>51</v>
      </c>
      <c r="G186" s="26" t="s">
        <v>15</v>
      </c>
      <c r="H186" s="26" t="s">
        <v>116</v>
      </c>
    </row>
    <row r="187" spans="2:8" x14ac:dyDescent="0.2">
      <c r="B187" s="3">
        <v>2007</v>
      </c>
      <c r="C187" s="3">
        <v>1</v>
      </c>
      <c r="D187" s="3">
        <v>1</v>
      </c>
      <c r="E187" s="3">
        <v>7</v>
      </c>
      <c r="F187" s="4" t="s">
        <v>51</v>
      </c>
      <c r="G187" s="26" t="s">
        <v>15</v>
      </c>
      <c r="H187" s="26" t="s">
        <v>116</v>
      </c>
    </row>
    <row r="188" spans="2:8" x14ac:dyDescent="0.2">
      <c r="B188" s="3">
        <v>2007</v>
      </c>
      <c r="C188" s="3">
        <v>1</v>
      </c>
      <c r="D188" s="3">
        <v>1</v>
      </c>
      <c r="E188" s="3">
        <v>8</v>
      </c>
      <c r="F188" s="4" t="s">
        <v>51</v>
      </c>
      <c r="G188" s="26" t="s">
        <v>15</v>
      </c>
      <c r="H188" s="26" t="s">
        <v>116</v>
      </c>
    </row>
    <row r="189" spans="2:8" x14ac:dyDescent="0.2">
      <c r="B189" s="3">
        <v>2007</v>
      </c>
      <c r="C189" s="3">
        <v>1</v>
      </c>
      <c r="D189" s="3">
        <v>1</v>
      </c>
      <c r="E189" s="3">
        <v>9</v>
      </c>
      <c r="F189" s="4" t="s">
        <v>51</v>
      </c>
      <c r="G189" s="26" t="s">
        <v>15</v>
      </c>
      <c r="H189" s="26" t="s">
        <v>116</v>
      </c>
    </row>
    <row r="190" spans="2:8" x14ac:dyDescent="0.2">
      <c r="B190" s="3">
        <v>2007</v>
      </c>
      <c r="C190" s="3">
        <v>1</v>
      </c>
      <c r="D190" s="3">
        <v>1</v>
      </c>
      <c r="E190" s="3">
        <v>10</v>
      </c>
      <c r="F190" s="4" t="s">
        <v>51</v>
      </c>
      <c r="G190" s="26" t="s">
        <v>15</v>
      </c>
      <c r="H190" s="26" t="s">
        <v>116</v>
      </c>
    </row>
    <row r="191" spans="2:8" x14ac:dyDescent="0.2">
      <c r="B191" s="3">
        <v>2007</v>
      </c>
      <c r="C191" s="3">
        <v>1</v>
      </c>
      <c r="D191" s="3">
        <v>1</v>
      </c>
      <c r="E191" s="3">
        <v>11</v>
      </c>
      <c r="F191" s="4" t="s">
        <v>52</v>
      </c>
      <c r="G191" s="5" t="s">
        <v>15</v>
      </c>
      <c r="H191" s="5" t="s">
        <v>115</v>
      </c>
    </row>
    <row r="192" spans="2:8" x14ac:dyDescent="0.2">
      <c r="B192" s="3">
        <v>2007</v>
      </c>
      <c r="C192" s="3">
        <v>1</v>
      </c>
      <c r="D192" s="3">
        <v>1</v>
      </c>
      <c r="E192" s="3">
        <v>12</v>
      </c>
      <c r="F192" s="4" t="s">
        <v>52</v>
      </c>
      <c r="G192" s="5" t="s">
        <v>15</v>
      </c>
      <c r="H192" s="5" t="s">
        <v>115</v>
      </c>
    </row>
    <row r="193" spans="2:8" x14ac:dyDescent="0.2">
      <c r="B193" s="3">
        <v>2007</v>
      </c>
      <c r="C193" s="3">
        <v>1</v>
      </c>
      <c r="D193" s="3">
        <v>1</v>
      </c>
      <c r="E193" s="3">
        <v>13</v>
      </c>
      <c r="F193" s="4" t="s">
        <v>52</v>
      </c>
      <c r="G193" s="5" t="s">
        <v>15</v>
      </c>
      <c r="H193" s="5" t="s">
        <v>115</v>
      </c>
    </row>
    <row r="194" spans="2:8" x14ac:dyDescent="0.2">
      <c r="B194" s="3">
        <v>2007</v>
      </c>
      <c r="C194" s="3">
        <v>1</v>
      </c>
      <c r="D194" s="3">
        <v>1</v>
      </c>
      <c r="E194" s="3">
        <v>14</v>
      </c>
      <c r="F194" s="4" t="s">
        <v>52</v>
      </c>
      <c r="G194" s="5" t="s">
        <v>15</v>
      </c>
      <c r="H194" s="5" t="s">
        <v>115</v>
      </c>
    </row>
    <row r="195" spans="2:8" x14ac:dyDescent="0.2">
      <c r="B195" s="3">
        <v>2007</v>
      </c>
      <c r="C195" s="3">
        <v>1</v>
      </c>
      <c r="D195" s="3">
        <v>1</v>
      </c>
      <c r="E195" s="3">
        <v>15</v>
      </c>
      <c r="F195" s="4" t="s">
        <v>52</v>
      </c>
      <c r="G195" s="5" t="s">
        <v>15</v>
      </c>
      <c r="H195" s="5" t="s">
        <v>115</v>
      </c>
    </row>
    <row r="196" spans="2:8" x14ac:dyDescent="0.2">
      <c r="B196" s="3">
        <v>2007</v>
      </c>
      <c r="C196" s="3">
        <v>1</v>
      </c>
      <c r="D196" s="3">
        <v>1</v>
      </c>
      <c r="E196" s="3">
        <v>16</v>
      </c>
      <c r="F196" s="4" t="s">
        <v>53</v>
      </c>
      <c r="G196" s="5" t="s">
        <v>98</v>
      </c>
      <c r="H196" s="5" t="s">
        <v>7</v>
      </c>
    </row>
    <row r="197" spans="2:8" x14ac:dyDescent="0.2">
      <c r="B197" s="3">
        <v>2007</v>
      </c>
      <c r="C197" s="3">
        <v>1</v>
      </c>
      <c r="D197" s="3">
        <v>1</v>
      </c>
      <c r="E197" s="3">
        <v>17</v>
      </c>
      <c r="F197" s="4" t="s">
        <v>53</v>
      </c>
      <c r="G197" s="5" t="s">
        <v>98</v>
      </c>
      <c r="H197" s="5" t="s">
        <v>7</v>
      </c>
    </row>
    <row r="198" spans="2:8" x14ac:dyDescent="0.2">
      <c r="B198" s="3">
        <v>2007</v>
      </c>
      <c r="C198" s="3">
        <v>1</v>
      </c>
      <c r="D198" s="3">
        <v>1</v>
      </c>
      <c r="E198" s="3">
        <v>18</v>
      </c>
      <c r="F198" s="4" t="s">
        <v>53</v>
      </c>
      <c r="G198" s="5" t="s">
        <v>98</v>
      </c>
      <c r="H198" s="5" t="s">
        <v>7</v>
      </c>
    </row>
    <row r="199" spans="2:8" x14ac:dyDescent="0.2">
      <c r="B199" s="3">
        <v>2007</v>
      </c>
      <c r="C199" s="3">
        <v>1</v>
      </c>
      <c r="D199" s="3">
        <v>1</v>
      </c>
      <c r="E199" s="3">
        <v>19</v>
      </c>
      <c r="F199" s="4" t="s">
        <v>53</v>
      </c>
      <c r="G199" s="5" t="s">
        <v>98</v>
      </c>
      <c r="H199" s="5" t="s">
        <v>7</v>
      </c>
    </row>
    <row r="200" spans="2:8" x14ac:dyDescent="0.2">
      <c r="B200" s="3">
        <v>2007</v>
      </c>
      <c r="C200" s="3">
        <v>1</v>
      </c>
      <c r="D200" s="3">
        <v>1</v>
      </c>
      <c r="E200" s="3">
        <v>20</v>
      </c>
      <c r="F200" s="4" t="s">
        <v>53</v>
      </c>
      <c r="G200" s="5" t="s">
        <v>98</v>
      </c>
      <c r="H200" s="5" t="s">
        <v>7</v>
      </c>
    </row>
    <row r="201" spans="2:8" x14ac:dyDescent="0.2">
      <c r="B201" s="3">
        <v>2007</v>
      </c>
      <c r="C201" s="3">
        <v>2</v>
      </c>
      <c r="D201" s="3">
        <v>1</v>
      </c>
      <c r="E201" s="3">
        <v>1</v>
      </c>
      <c r="F201" s="4" t="s">
        <v>54</v>
      </c>
      <c r="G201" s="15" t="s">
        <v>98</v>
      </c>
      <c r="H201" s="15" t="s">
        <v>119</v>
      </c>
    </row>
    <row r="202" spans="2:8" x14ac:dyDescent="0.2">
      <c r="B202" s="3">
        <v>2007</v>
      </c>
      <c r="C202" s="3">
        <v>2</v>
      </c>
      <c r="D202" s="3">
        <v>1</v>
      </c>
      <c r="E202" s="3">
        <v>2</v>
      </c>
      <c r="F202" s="4" t="s">
        <v>54</v>
      </c>
      <c r="G202" s="15" t="s">
        <v>98</v>
      </c>
      <c r="H202" s="15" t="s">
        <v>119</v>
      </c>
    </row>
    <row r="203" spans="2:8" x14ac:dyDescent="0.2">
      <c r="B203" s="3">
        <v>2007</v>
      </c>
      <c r="C203" s="3">
        <v>2</v>
      </c>
      <c r="D203" s="3">
        <v>1</v>
      </c>
      <c r="E203" s="3">
        <v>3</v>
      </c>
      <c r="F203" s="4" t="s">
        <v>54</v>
      </c>
      <c r="G203" s="15" t="s">
        <v>98</v>
      </c>
      <c r="H203" s="15" t="s">
        <v>119</v>
      </c>
    </row>
    <row r="204" spans="2:8" x14ac:dyDescent="0.2">
      <c r="B204" s="3">
        <v>2007</v>
      </c>
      <c r="C204" s="3">
        <v>2</v>
      </c>
      <c r="D204" s="3">
        <v>1</v>
      </c>
      <c r="E204" s="3">
        <v>4</v>
      </c>
      <c r="F204" s="4" t="s">
        <v>54</v>
      </c>
      <c r="G204" s="15" t="s">
        <v>98</v>
      </c>
      <c r="H204" s="15" t="s">
        <v>119</v>
      </c>
    </row>
    <row r="205" spans="2:8" x14ac:dyDescent="0.2">
      <c r="B205" s="3">
        <v>2007</v>
      </c>
      <c r="C205" s="3">
        <v>2</v>
      </c>
      <c r="D205" s="3">
        <v>1</v>
      </c>
      <c r="E205" s="3">
        <v>5</v>
      </c>
      <c r="F205" s="4" t="s">
        <v>54</v>
      </c>
      <c r="G205" s="15" t="s">
        <v>98</v>
      </c>
      <c r="H205" s="15" t="s">
        <v>119</v>
      </c>
    </row>
    <row r="206" spans="2:8" x14ac:dyDescent="0.2">
      <c r="B206" s="3">
        <v>2007</v>
      </c>
      <c r="C206" s="3">
        <v>2</v>
      </c>
      <c r="D206" s="3">
        <v>1</v>
      </c>
      <c r="E206" s="3">
        <v>6</v>
      </c>
      <c r="F206" s="4" t="s">
        <v>55</v>
      </c>
      <c r="G206" s="5" t="s">
        <v>15</v>
      </c>
      <c r="H206" s="5" t="s">
        <v>115</v>
      </c>
    </row>
    <row r="207" spans="2:8" x14ac:dyDescent="0.2">
      <c r="B207" s="3">
        <v>2007</v>
      </c>
      <c r="C207" s="3">
        <v>2</v>
      </c>
      <c r="D207" s="3">
        <v>1</v>
      </c>
      <c r="E207" s="3">
        <v>7</v>
      </c>
      <c r="F207" s="4" t="s">
        <v>55</v>
      </c>
      <c r="G207" s="5" t="s">
        <v>15</v>
      </c>
      <c r="H207" s="5" t="s">
        <v>115</v>
      </c>
    </row>
    <row r="208" spans="2:8" x14ac:dyDescent="0.2">
      <c r="B208" s="3">
        <v>2007</v>
      </c>
      <c r="C208" s="3">
        <v>2</v>
      </c>
      <c r="D208" s="3">
        <v>1</v>
      </c>
      <c r="E208" s="3">
        <v>8</v>
      </c>
      <c r="F208" s="4" t="s">
        <v>55</v>
      </c>
      <c r="G208" s="5" t="s">
        <v>15</v>
      </c>
      <c r="H208" s="5" t="s">
        <v>115</v>
      </c>
    </row>
    <row r="209" spans="2:8" x14ac:dyDescent="0.2">
      <c r="B209" s="3">
        <v>2007</v>
      </c>
      <c r="C209" s="3">
        <v>2</v>
      </c>
      <c r="D209" s="3">
        <v>1</v>
      </c>
      <c r="E209" s="3">
        <v>9</v>
      </c>
      <c r="F209" s="4" t="s">
        <v>55</v>
      </c>
      <c r="G209" s="5" t="s">
        <v>15</v>
      </c>
      <c r="H209" s="5" t="s">
        <v>115</v>
      </c>
    </row>
    <row r="210" spans="2:8" x14ac:dyDescent="0.2">
      <c r="B210" s="3">
        <v>2007</v>
      </c>
      <c r="C210" s="3">
        <v>2</v>
      </c>
      <c r="D210" s="3">
        <v>1</v>
      </c>
      <c r="E210" s="3">
        <v>10</v>
      </c>
      <c r="F210" s="4" t="s">
        <v>55</v>
      </c>
      <c r="G210" s="5" t="s">
        <v>15</v>
      </c>
      <c r="H210" s="5" t="s">
        <v>115</v>
      </c>
    </row>
    <row r="211" spans="2:8" x14ac:dyDescent="0.2">
      <c r="B211" s="3">
        <v>2007</v>
      </c>
      <c r="C211" s="3">
        <v>2</v>
      </c>
      <c r="D211" s="3">
        <v>1</v>
      </c>
      <c r="E211" s="3">
        <v>11</v>
      </c>
      <c r="F211" s="4" t="s">
        <v>56</v>
      </c>
      <c r="G211" s="26" t="s">
        <v>98</v>
      </c>
      <c r="H211" s="26" t="s">
        <v>11</v>
      </c>
    </row>
    <row r="212" spans="2:8" x14ac:dyDescent="0.2">
      <c r="B212" s="3">
        <v>2007</v>
      </c>
      <c r="C212" s="3">
        <v>2</v>
      </c>
      <c r="D212" s="3">
        <v>1</v>
      </c>
      <c r="E212" s="3">
        <v>12</v>
      </c>
      <c r="F212" s="4" t="s">
        <v>56</v>
      </c>
      <c r="G212" s="26" t="s">
        <v>98</v>
      </c>
      <c r="H212" s="26" t="s">
        <v>11</v>
      </c>
    </row>
    <row r="213" spans="2:8" x14ac:dyDescent="0.2">
      <c r="B213" s="3">
        <v>2007</v>
      </c>
      <c r="C213" s="3">
        <v>2</v>
      </c>
      <c r="D213" s="3">
        <v>1</v>
      </c>
      <c r="E213" s="3">
        <v>13</v>
      </c>
      <c r="F213" s="4" t="s">
        <v>56</v>
      </c>
      <c r="G213" s="26" t="s">
        <v>98</v>
      </c>
      <c r="H213" s="26" t="s">
        <v>11</v>
      </c>
    </row>
    <row r="214" spans="2:8" x14ac:dyDescent="0.2">
      <c r="B214" s="3">
        <v>2007</v>
      </c>
      <c r="C214" s="3">
        <v>2</v>
      </c>
      <c r="D214" s="3">
        <v>1</v>
      </c>
      <c r="E214" s="3">
        <v>14</v>
      </c>
      <c r="F214" s="4" t="s">
        <v>56</v>
      </c>
      <c r="G214" s="26" t="s">
        <v>98</v>
      </c>
      <c r="H214" s="26" t="s">
        <v>11</v>
      </c>
    </row>
    <row r="215" spans="2:8" x14ac:dyDescent="0.2">
      <c r="B215" s="3">
        <v>2007</v>
      </c>
      <c r="C215" s="3">
        <v>2</v>
      </c>
      <c r="D215" s="3">
        <v>1</v>
      </c>
      <c r="E215" s="3">
        <v>15</v>
      </c>
      <c r="F215" s="4" t="s">
        <v>56</v>
      </c>
      <c r="G215" s="26" t="s">
        <v>98</v>
      </c>
      <c r="H215" s="26" t="s">
        <v>11</v>
      </c>
    </row>
    <row r="216" spans="2:8" x14ac:dyDescent="0.2">
      <c r="B216" s="3">
        <v>2007</v>
      </c>
      <c r="C216" s="3">
        <v>2</v>
      </c>
      <c r="D216" s="3">
        <v>1</v>
      </c>
      <c r="E216" s="3">
        <v>16</v>
      </c>
      <c r="F216" s="4" t="s">
        <v>53</v>
      </c>
      <c r="G216" s="5" t="s">
        <v>98</v>
      </c>
      <c r="H216" s="5" t="s">
        <v>7</v>
      </c>
    </row>
    <row r="217" spans="2:8" x14ac:dyDescent="0.2">
      <c r="B217" s="3">
        <v>2007</v>
      </c>
      <c r="C217" s="3">
        <v>2</v>
      </c>
      <c r="D217" s="3">
        <v>1</v>
      </c>
      <c r="E217" s="3">
        <v>17</v>
      </c>
      <c r="F217" s="4" t="s">
        <v>53</v>
      </c>
      <c r="G217" s="5" t="s">
        <v>98</v>
      </c>
      <c r="H217" s="5" t="s">
        <v>7</v>
      </c>
    </row>
    <row r="218" spans="2:8" x14ac:dyDescent="0.2">
      <c r="B218" s="3">
        <v>2007</v>
      </c>
      <c r="C218" s="3">
        <v>2</v>
      </c>
      <c r="D218" s="3">
        <v>1</v>
      </c>
      <c r="E218" s="3">
        <v>18</v>
      </c>
      <c r="F218" s="4" t="s">
        <v>53</v>
      </c>
      <c r="G218" s="5" t="s">
        <v>98</v>
      </c>
      <c r="H218" s="5" t="s">
        <v>7</v>
      </c>
    </row>
    <row r="219" spans="2:8" x14ac:dyDescent="0.2">
      <c r="B219" s="3">
        <v>2007</v>
      </c>
      <c r="C219" s="3">
        <v>2</v>
      </c>
      <c r="D219" s="3">
        <v>1</v>
      </c>
      <c r="E219" s="3">
        <v>19</v>
      </c>
      <c r="F219" s="4" t="s">
        <v>53</v>
      </c>
      <c r="G219" s="5" t="s">
        <v>98</v>
      </c>
      <c r="H219" s="5" t="s">
        <v>7</v>
      </c>
    </row>
    <row r="220" spans="2:8" x14ac:dyDescent="0.2">
      <c r="B220" s="3">
        <v>2007</v>
      </c>
      <c r="C220" s="3">
        <v>2</v>
      </c>
      <c r="D220" s="3">
        <v>1</v>
      </c>
      <c r="E220" s="3">
        <v>20</v>
      </c>
      <c r="F220" s="4" t="s">
        <v>53</v>
      </c>
      <c r="G220" s="5" t="s">
        <v>98</v>
      </c>
      <c r="H220" s="5" t="s">
        <v>7</v>
      </c>
    </row>
    <row r="221" spans="2:8" x14ac:dyDescent="0.2">
      <c r="B221" s="3">
        <v>2007</v>
      </c>
      <c r="C221" s="3">
        <v>1</v>
      </c>
      <c r="D221" s="3">
        <v>2</v>
      </c>
      <c r="E221" s="3">
        <v>1</v>
      </c>
      <c r="F221" s="4" t="s">
        <v>57</v>
      </c>
      <c r="G221" s="5" t="s">
        <v>98</v>
      </c>
      <c r="H221" s="5" t="s">
        <v>7</v>
      </c>
    </row>
    <row r="222" spans="2:8" x14ac:dyDescent="0.2">
      <c r="B222" s="3">
        <v>2007</v>
      </c>
      <c r="C222" s="3">
        <v>1</v>
      </c>
      <c r="D222" s="3">
        <v>2</v>
      </c>
      <c r="E222" s="3">
        <v>2</v>
      </c>
      <c r="F222" s="4" t="s">
        <v>57</v>
      </c>
      <c r="G222" s="5" t="s">
        <v>98</v>
      </c>
      <c r="H222" s="5" t="s">
        <v>7</v>
      </c>
    </row>
    <row r="223" spans="2:8" x14ac:dyDescent="0.2">
      <c r="B223" s="3">
        <v>2007</v>
      </c>
      <c r="C223" s="3">
        <v>1</v>
      </c>
      <c r="D223" s="3">
        <v>2</v>
      </c>
      <c r="E223" s="3">
        <v>3</v>
      </c>
      <c r="F223" s="4" t="s">
        <v>57</v>
      </c>
      <c r="G223" s="5" t="s">
        <v>98</v>
      </c>
      <c r="H223" s="5" t="s">
        <v>7</v>
      </c>
    </row>
    <row r="224" spans="2:8" x14ac:dyDescent="0.2">
      <c r="B224" s="3">
        <v>2007</v>
      </c>
      <c r="C224" s="3">
        <v>1</v>
      </c>
      <c r="D224" s="3">
        <v>2</v>
      </c>
      <c r="E224" s="3">
        <v>4</v>
      </c>
      <c r="F224" s="4" t="s">
        <v>57</v>
      </c>
      <c r="G224" s="5" t="s">
        <v>98</v>
      </c>
      <c r="H224" s="5" t="s">
        <v>7</v>
      </c>
    </row>
    <row r="225" spans="2:8" x14ac:dyDescent="0.2">
      <c r="B225" s="3">
        <v>2007</v>
      </c>
      <c r="C225" s="3">
        <v>1</v>
      </c>
      <c r="D225" s="3">
        <v>2</v>
      </c>
      <c r="E225" s="3">
        <v>5</v>
      </c>
      <c r="F225" s="4" t="s">
        <v>57</v>
      </c>
      <c r="G225" s="5" t="s">
        <v>98</v>
      </c>
      <c r="H225" s="5" t="s">
        <v>7</v>
      </c>
    </row>
    <row r="226" spans="2:8" x14ac:dyDescent="0.2">
      <c r="B226" s="3">
        <v>2007</v>
      </c>
      <c r="C226" s="3">
        <v>1</v>
      </c>
      <c r="D226" s="3">
        <v>2</v>
      </c>
      <c r="E226" s="3">
        <v>6</v>
      </c>
      <c r="F226" s="4" t="s">
        <v>58</v>
      </c>
      <c r="G226" s="5" t="s">
        <v>15</v>
      </c>
      <c r="H226" s="5" t="s">
        <v>115</v>
      </c>
    </row>
    <row r="227" spans="2:8" x14ac:dyDescent="0.2">
      <c r="B227" s="3">
        <v>2007</v>
      </c>
      <c r="C227" s="3">
        <v>1</v>
      </c>
      <c r="D227" s="3">
        <v>2</v>
      </c>
      <c r="E227" s="3">
        <v>7</v>
      </c>
      <c r="F227" s="4" t="s">
        <v>58</v>
      </c>
      <c r="G227" s="5" t="s">
        <v>15</v>
      </c>
      <c r="H227" s="5" t="s">
        <v>115</v>
      </c>
    </row>
    <row r="228" spans="2:8" x14ac:dyDescent="0.2">
      <c r="B228" s="3">
        <v>2007</v>
      </c>
      <c r="C228" s="3">
        <v>1</v>
      </c>
      <c r="D228" s="3">
        <v>2</v>
      </c>
      <c r="E228" s="3">
        <v>8</v>
      </c>
      <c r="F228" s="4" t="s">
        <v>58</v>
      </c>
      <c r="G228" s="5" t="s">
        <v>15</v>
      </c>
      <c r="H228" s="5" t="s">
        <v>115</v>
      </c>
    </row>
    <row r="229" spans="2:8" x14ac:dyDescent="0.2">
      <c r="B229" s="3">
        <v>2007</v>
      </c>
      <c r="C229" s="3">
        <v>1</v>
      </c>
      <c r="D229" s="3">
        <v>2</v>
      </c>
      <c r="E229" s="3">
        <v>9</v>
      </c>
      <c r="F229" s="4" t="s">
        <v>58</v>
      </c>
      <c r="G229" s="5" t="s">
        <v>15</v>
      </c>
      <c r="H229" s="5" t="s">
        <v>115</v>
      </c>
    </row>
    <row r="230" spans="2:8" x14ac:dyDescent="0.2">
      <c r="B230" s="3">
        <v>2007</v>
      </c>
      <c r="C230" s="3">
        <v>1</v>
      </c>
      <c r="D230" s="3">
        <v>2</v>
      </c>
      <c r="E230" s="3">
        <v>10</v>
      </c>
      <c r="F230" s="4" t="s">
        <v>58</v>
      </c>
      <c r="G230" s="5" t="s">
        <v>15</v>
      </c>
      <c r="H230" s="5" t="s">
        <v>115</v>
      </c>
    </row>
    <row r="231" spans="2:8" x14ac:dyDescent="0.2">
      <c r="B231" s="3">
        <v>2007</v>
      </c>
      <c r="C231" s="3">
        <v>1</v>
      </c>
      <c r="D231" s="3">
        <v>2</v>
      </c>
      <c r="E231" s="3">
        <v>11</v>
      </c>
      <c r="F231" s="4" t="s">
        <v>59</v>
      </c>
      <c r="G231" s="5" t="s">
        <v>98</v>
      </c>
      <c r="H231" s="5" t="s">
        <v>7</v>
      </c>
    </row>
    <row r="232" spans="2:8" x14ac:dyDescent="0.2">
      <c r="B232" s="3">
        <v>2007</v>
      </c>
      <c r="C232" s="3">
        <v>1</v>
      </c>
      <c r="D232" s="3">
        <v>2</v>
      </c>
      <c r="E232" s="3">
        <v>12</v>
      </c>
      <c r="F232" s="4" t="s">
        <v>59</v>
      </c>
      <c r="G232" s="5" t="s">
        <v>98</v>
      </c>
      <c r="H232" s="5" t="s">
        <v>7</v>
      </c>
    </row>
    <row r="233" spans="2:8" x14ac:dyDescent="0.2">
      <c r="B233" s="3">
        <v>2007</v>
      </c>
      <c r="C233" s="3">
        <v>1</v>
      </c>
      <c r="D233" s="3">
        <v>2</v>
      </c>
      <c r="E233" s="3">
        <v>13</v>
      </c>
      <c r="F233" s="4" t="s">
        <v>59</v>
      </c>
      <c r="G233" s="5" t="s">
        <v>98</v>
      </c>
      <c r="H233" s="5" t="s">
        <v>7</v>
      </c>
    </row>
    <row r="234" spans="2:8" x14ac:dyDescent="0.2">
      <c r="B234" s="3">
        <v>2007</v>
      </c>
      <c r="C234" s="3">
        <v>1</v>
      </c>
      <c r="D234" s="3">
        <v>2</v>
      </c>
      <c r="E234" s="3">
        <v>14</v>
      </c>
      <c r="F234" s="4" t="s">
        <v>59</v>
      </c>
      <c r="G234" s="5" t="s">
        <v>98</v>
      </c>
      <c r="H234" s="5" t="s">
        <v>7</v>
      </c>
    </row>
    <row r="235" spans="2:8" x14ac:dyDescent="0.2">
      <c r="B235" s="3">
        <v>2007</v>
      </c>
      <c r="C235" s="3">
        <v>1</v>
      </c>
      <c r="D235" s="3">
        <v>2</v>
      </c>
      <c r="E235" s="3">
        <v>15</v>
      </c>
      <c r="F235" s="4" t="s">
        <v>59</v>
      </c>
      <c r="G235" s="5" t="s">
        <v>98</v>
      </c>
      <c r="H235" s="5" t="s">
        <v>7</v>
      </c>
    </row>
    <row r="236" spans="2:8" x14ac:dyDescent="0.2">
      <c r="B236" s="3">
        <v>2007</v>
      </c>
      <c r="C236" s="3">
        <v>1</v>
      </c>
      <c r="D236" s="3">
        <v>2</v>
      </c>
      <c r="E236" s="3">
        <v>16</v>
      </c>
      <c r="F236" s="4" t="s">
        <v>60</v>
      </c>
      <c r="G236" s="26" t="s">
        <v>15</v>
      </c>
      <c r="H236" s="26" t="s">
        <v>115</v>
      </c>
    </row>
    <row r="237" spans="2:8" x14ac:dyDescent="0.2">
      <c r="B237" s="3">
        <v>2007</v>
      </c>
      <c r="C237" s="3">
        <v>1</v>
      </c>
      <c r="D237" s="3">
        <v>2</v>
      </c>
      <c r="E237" s="3">
        <v>17</v>
      </c>
      <c r="F237" s="4" t="s">
        <v>60</v>
      </c>
      <c r="G237" s="26" t="s">
        <v>15</v>
      </c>
      <c r="H237" s="26" t="s">
        <v>115</v>
      </c>
    </row>
    <row r="238" spans="2:8" x14ac:dyDescent="0.2">
      <c r="B238" s="3">
        <v>2007</v>
      </c>
      <c r="C238" s="3">
        <v>1</v>
      </c>
      <c r="D238" s="3">
        <v>2</v>
      </c>
      <c r="E238" s="3">
        <v>18</v>
      </c>
      <c r="F238" s="4" t="s">
        <v>60</v>
      </c>
      <c r="G238" s="26" t="s">
        <v>15</v>
      </c>
      <c r="H238" s="26" t="s">
        <v>115</v>
      </c>
    </row>
    <row r="239" spans="2:8" x14ac:dyDescent="0.2">
      <c r="B239" s="3">
        <v>2007</v>
      </c>
      <c r="C239" s="3">
        <v>1</v>
      </c>
      <c r="D239" s="3">
        <v>2</v>
      </c>
      <c r="E239" s="3">
        <v>19</v>
      </c>
      <c r="F239" s="4" t="s">
        <v>60</v>
      </c>
      <c r="G239" s="26" t="s">
        <v>15</v>
      </c>
      <c r="H239" s="26" t="s">
        <v>115</v>
      </c>
    </row>
    <row r="240" spans="2:8" x14ac:dyDescent="0.2">
      <c r="B240" s="3">
        <v>2007</v>
      </c>
      <c r="C240" s="3">
        <v>1</v>
      </c>
      <c r="D240" s="3">
        <v>2</v>
      </c>
      <c r="E240" s="3">
        <v>20</v>
      </c>
      <c r="F240" s="4" t="s">
        <v>60</v>
      </c>
      <c r="G240" s="26" t="s">
        <v>15</v>
      </c>
      <c r="H240" s="26" t="s">
        <v>115</v>
      </c>
    </row>
    <row r="241" spans="2:8" x14ac:dyDescent="0.2">
      <c r="B241" s="3">
        <v>2007</v>
      </c>
      <c r="C241" s="3">
        <v>1</v>
      </c>
      <c r="D241" s="3">
        <v>2</v>
      </c>
      <c r="E241" s="3">
        <v>21</v>
      </c>
      <c r="F241" s="4" t="s">
        <v>61</v>
      </c>
      <c r="G241" s="5" t="s">
        <v>18</v>
      </c>
      <c r="H241" s="5" t="s">
        <v>114</v>
      </c>
    </row>
    <row r="242" spans="2:8" x14ac:dyDescent="0.2">
      <c r="B242" s="3">
        <v>2007</v>
      </c>
      <c r="C242" s="3">
        <v>1</v>
      </c>
      <c r="D242" s="3">
        <v>2</v>
      </c>
      <c r="E242" s="3">
        <v>22</v>
      </c>
      <c r="F242" s="4" t="s">
        <v>61</v>
      </c>
      <c r="G242" s="5" t="s">
        <v>18</v>
      </c>
      <c r="H242" s="5" t="s">
        <v>114</v>
      </c>
    </row>
    <row r="243" spans="2:8" x14ac:dyDescent="0.2">
      <c r="B243" s="3">
        <v>2007</v>
      </c>
      <c r="C243" s="3">
        <v>1</v>
      </c>
      <c r="D243" s="3">
        <v>2</v>
      </c>
      <c r="E243" s="3">
        <v>23</v>
      </c>
      <c r="F243" s="4" t="s">
        <v>61</v>
      </c>
      <c r="G243" s="5" t="s">
        <v>18</v>
      </c>
      <c r="H243" s="5" t="s">
        <v>114</v>
      </c>
    </row>
    <row r="244" spans="2:8" x14ac:dyDescent="0.2">
      <c r="B244" s="3">
        <v>2007</v>
      </c>
      <c r="C244" s="3">
        <v>1</v>
      </c>
      <c r="D244" s="3">
        <v>2</v>
      </c>
      <c r="E244" s="3">
        <v>24</v>
      </c>
      <c r="F244" s="4" t="s">
        <v>61</v>
      </c>
      <c r="G244" s="5" t="s">
        <v>18</v>
      </c>
      <c r="H244" s="5" t="s">
        <v>114</v>
      </c>
    </row>
    <row r="245" spans="2:8" x14ac:dyDescent="0.2">
      <c r="B245" s="3">
        <v>2007</v>
      </c>
      <c r="C245" s="3">
        <v>1</v>
      </c>
      <c r="D245" s="3">
        <v>2</v>
      </c>
      <c r="E245" s="3">
        <v>25</v>
      </c>
      <c r="F245" s="4" t="s">
        <v>61</v>
      </c>
      <c r="G245" s="5" t="s">
        <v>18</v>
      </c>
      <c r="H245" s="5" t="s">
        <v>114</v>
      </c>
    </row>
    <row r="246" spans="2:8" x14ac:dyDescent="0.2">
      <c r="B246" s="3">
        <v>2007</v>
      </c>
      <c r="C246" s="3">
        <v>2</v>
      </c>
      <c r="D246" s="3">
        <v>2</v>
      </c>
      <c r="E246" s="3">
        <v>1</v>
      </c>
      <c r="F246" s="4" t="s">
        <v>57</v>
      </c>
      <c r="G246" s="5" t="s">
        <v>98</v>
      </c>
      <c r="H246" s="5" t="s">
        <v>7</v>
      </c>
    </row>
    <row r="247" spans="2:8" x14ac:dyDescent="0.2">
      <c r="B247" s="3">
        <v>2007</v>
      </c>
      <c r="C247" s="3">
        <v>2</v>
      </c>
      <c r="D247" s="3">
        <v>2</v>
      </c>
      <c r="E247" s="3">
        <v>2</v>
      </c>
      <c r="F247" s="4" t="s">
        <v>57</v>
      </c>
      <c r="G247" s="5" t="s">
        <v>98</v>
      </c>
      <c r="H247" s="5" t="s">
        <v>7</v>
      </c>
    </row>
    <row r="248" spans="2:8" x14ac:dyDescent="0.2">
      <c r="B248" s="3">
        <v>2007</v>
      </c>
      <c r="C248" s="3">
        <v>2</v>
      </c>
      <c r="D248" s="3">
        <v>2</v>
      </c>
      <c r="E248" s="3">
        <v>3</v>
      </c>
      <c r="F248" s="4" t="s">
        <v>57</v>
      </c>
      <c r="G248" s="5" t="s">
        <v>98</v>
      </c>
      <c r="H248" s="5" t="s">
        <v>7</v>
      </c>
    </row>
    <row r="249" spans="2:8" x14ac:dyDescent="0.2">
      <c r="B249" s="3">
        <v>2007</v>
      </c>
      <c r="C249" s="3">
        <v>2</v>
      </c>
      <c r="D249" s="3">
        <v>2</v>
      </c>
      <c r="E249" s="3">
        <v>4</v>
      </c>
      <c r="F249" s="4" t="s">
        <v>57</v>
      </c>
      <c r="G249" s="5" t="s">
        <v>98</v>
      </c>
      <c r="H249" s="5" t="s">
        <v>7</v>
      </c>
    </row>
    <row r="250" spans="2:8" x14ac:dyDescent="0.2">
      <c r="B250" s="3">
        <v>2007</v>
      </c>
      <c r="C250" s="3">
        <v>2</v>
      </c>
      <c r="D250" s="3">
        <v>2</v>
      </c>
      <c r="E250" s="3">
        <v>5</v>
      </c>
      <c r="F250" s="4" t="s">
        <v>57</v>
      </c>
      <c r="G250" s="5" t="s">
        <v>98</v>
      </c>
      <c r="H250" s="5" t="s">
        <v>7</v>
      </c>
    </row>
    <row r="251" spans="2:8" x14ac:dyDescent="0.2">
      <c r="B251" s="3">
        <v>2007</v>
      </c>
      <c r="C251" s="3">
        <v>2</v>
      </c>
      <c r="D251" s="3">
        <v>2</v>
      </c>
      <c r="E251" s="3">
        <v>6</v>
      </c>
      <c r="F251" s="4" t="s">
        <v>62</v>
      </c>
      <c r="G251" s="5" t="s">
        <v>18</v>
      </c>
      <c r="H251" s="5" t="s">
        <v>114</v>
      </c>
    </row>
    <row r="252" spans="2:8" x14ac:dyDescent="0.2">
      <c r="B252" s="3">
        <v>2007</v>
      </c>
      <c r="C252" s="3">
        <v>2</v>
      </c>
      <c r="D252" s="3">
        <v>2</v>
      </c>
      <c r="E252" s="3">
        <v>7</v>
      </c>
      <c r="F252" s="4" t="s">
        <v>62</v>
      </c>
      <c r="G252" s="5" t="s">
        <v>18</v>
      </c>
      <c r="H252" s="5" t="s">
        <v>114</v>
      </c>
    </row>
    <row r="253" spans="2:8" x14ac:dyDescent="0.2">
      <c r="B253" s="3">
        <v>2007</v>
      </c>
      <c r="C253" s="3">
        <v>2</v>
      </c>
      <c r="D253" s="3">
        <v>2</v>
      </c>
      <c r="E253" s="3">
        <v>8</v>
      </c>
      <c r="F253" s="4" t="s">
        <v>62</v>
      </c>
      <c r="G253" s="5" t="s">
        <v>18</v>
      </c>
      <c r="H253" s="5" t="s">
        <v>114</v>
      </c>
    </row>
    <row r="254" spans="2:8" x14ac:dyDescent="0.2">
      <c r="B254" s="3">
        <v>2007</v>
      </c>
      <c r="C254" s="3">
        <v>2</v>
      </c>
      <c r="D254" s="3">
        <v>2</v>
      </c>
      <c r="E254" s="3">
        <v>9</v>
      </c>
      <c r="F254" s="4" t="s">
        <v>62</v>
      </c>
      <c r="G254" s="5" t="s">
        <v>18</v>
      </c>
      <c r="H254" s="5" t="s">
        <v>114</v>
      </c>
    </row>
    <row r="255" spans="2:8" x14ac:dyDescent="0.2">
      <c r="B255" s="3">
        <v>2007</v>
      </c>
      <c r="C255" s="3">
        <v>2</v>
      </c>
      <c r="D255" s="3">
        <v>2</v>
      </c>
      <c r="E255" s="3">
        <v>10</v>
      </c>
      <c r="F255" s="4" t="s">
        <v>62</v>
      </c>
      <c r="G255" s="5" t="s">
        <v>18</v>
      </c>
      <c r="H255" s="5" t="s">
        <v>114</v>
      </c>
    </row>
    <row r="256" spans="2:8" x14ac:dyDescent="0.2">
      <c r="B256" s="3">
        <v>2007</v>
      </c>
      <c r="C256" s="3">
        <v>2</v>
      </c>
      <c r="D256" s="3">
        <v>2</v>
      </c>
      <c r="E256" s="3">
        <v>11</v>
      </c>
      <c r="F256" s="4" t="s">
        <v>63</v>
      </c>
      <c r="G256" s="26" t="s">
        <v>18</v>
      </c>
      <c r="H256" s="26" t="s">
        <v>114</v>
      </c>
    </row>
    <row r="257" spans="2:8" x14ac:dyDescent="0.2">
      <c r="B257" s="3">
        <v>2007</v>
      </c>
      <c r="C257" s="3">
        <v>2</v>
      </c>
      <c r="D257" s="3">
        <v>2</v>
      </c>
      <c r="E257" s="3">
        <v>12</v>
      </c>
      <c r="F257" s="4" t="s">
        <v>63</v>
      </c>
      <c r="G257" s="26" t="s">
        <v>18</v>
      </c>
      <c r="H257" s="26" t="s">
        <v>114</v>
      </c>
    </row>
    <row r="258" spans="2:8" x14ac:dyDescent="0.2">
      <c r="B258" s="3">
        <v>2007</v>
      </c>
      <c r="C258" s="3">
        <v>2</v>
      </c>
      <c r="D258" s="3">
        <v>2</v>
      </c>
      <c r="E258" s="3">
        <v>13</v>
      </c>
      <c r="F258" s="4" t="s">
        <v>63</v>
      </c>
      <c r="G258" s="26" t="s">
        <v>18</v>
      </c>
      <c r="H258" s="26" t="s">
        <v>114</v>
      </c>
    </row>
    <row r="259" spans="2:8" x14ac:dyDescent="0.2">
      <c r="B259" s="3">
        <v>2007</v>
      </c>
      <c r="C259" s="3">
        <v>2</v>
      </c>
      <c r="D259" s="3">
        <v>2</v>
      </c>
      <c r="E259" s="3">
        <v>14</v>
      </c>
      <c r="F259" s="4" t="s">
        <v>63</v>
      </c>
      <c r="G259" s="26" t="s">
        <v>18</v>
      </c>
      <c r="H259" s="26" t="s">
        <v>114</v>
      </c>
    </row>
    <row r="260" spans="2:8" x14ac:dyDescent="0.2">
      <c r="B260" s="3">
        <v>2007</v>
      </c>
      <c r="C260" s="3">
        <v>2</v>
      </c>
      <c r="D260" s="3">
        <v>2</v>
      </c>
      <c r="E260" s="3">
        <v>15</v>
      </c>
      <c r="F260" s="4" t="s">
        <v>63</v>
      </c>
      <c r="G260" s="26" t="s">
        <v>18</v>
      </c>
      <c r="H260" s="26" t="s">
        <v>114</v>
      </c>
    </row>
    <row r="261" spans="2:8" x14ac:dyDescent="0.2">
      <c r="B261" s="3">
        <v>2007</v>
      </c>
      <c r="C261" s="3">
        <v>2</v>
      </c>
      <c r="D261" s="3">
        <v>2</v>
      </c>
      <c r="E261" s="3">
        <v>16</v>
      </c>
      <c r="F261" s="4" t="s">
        <v>64</v>
      </c>
      <c r="G261" s="5" t="s">
        <v>18</v>
      </c>
      <c r="H261" s="5" t="s">
        <v>114</v>
      </c>
    </row>
    <row r="262" spans="2:8" x14ac:dyDescent="0.2">
      <c r="B262" s="3">
        <v>2007</v>
      </c>
      <c r="C262" s="3">
        <v>2</v>
      </c>
      <c r="D262" s="3">
        <v>2</v>
      </c>
      <c r="E262" s="3">
        <v>17</v>
      </c>
      <c r="F262" s="4" t="s">
        <v>64</v>
      </c>
      <c r="G262" s="5" t="s">
        <v>18</v>
      </c>
      <c r="H262" s="5" t="s">
        <v>114</v>
      </c>
    </row>
    <row r="263" spans="2:8" x14ac:dyDescent="0.2">
      <c r="B263" s="3">
        <v>2007</v>
      </c>
      <c r="C263" s="3">
        <v>2</v>
      </c>
      <c r="D263" s="3">
        <v>2</v>
      </c>
      <c r="E263" s="3">
        <v>18</v>
      </c>
      <c r="F263" s="4" t="s">
        <v>64</v>
      </c>
      <c r="G263" s="5" t="s">
        <v>18</v>
      </c>
      <c r="H263" s="5" t="s">
        <v>114</v>
      </c>
    </row>
    <row r="264" spans="2:8" x14ac:dyDescent="0.2">
      <c r="B264" s="3">
        <v>2007</v>
      </c>
      <c r="C264" s="3">
        <v>2</v>
      </c>
      <c r="D264" s="3">
        <v>2</v>
      </c>
      <c r="E264" s="3">
        <v>19</v>
      </c>
      <c r="F264" s="4" t="s">
        <v>64</v>
      </c>
      <c r="G264" s="5" t="s">
        <v>18</v>
      </c>
      <c r="H264" s="5" t="s">
        <v>114</v>
      </c>
    </row>
    <row r="265" spans="2:8" x14ac:dyDescent="0.2">
      <c r="B265" s="3">
        <v>2007</v>
      </c>
      <c r="C265" s="3">
        <v>2</v>
      </c>
      <c r="D265" s="3">
        <v>2</v>
      </c>
      <c r="E265" s="3">
        <v>20</v>
      </c>
      <c r="F265" s="4" t="s">
        <v>64</v>
      </c>
      <c r="G265" s="5" t="s">
        <v>18</v>
      </c>
      <c r="H265" s="5" t="s">
        <v>114</v>
      </c>
    </row>
    <row r="266" spans="2:8" x14ac:dyDescent="0.2">
      <c r="B266" s="3">
        <v>2007</v>
      </c>
      <c r="C266" s="3">
        <v>2</v>
      </c>
      <c r="D266" s="3">
        <v>2</v>
      </c>
      <c r="E266" s="3">
        <v>21</v>
      </c>
      <c r="F266" s="4" t="s">
        <v>60</v>
      </c>
      <c r="G266" s="26" t="s">
        <v>15</v>
      </c>
      <c r="H266" s="26" t="s">
        <v>115</v>
      </c>
    </row>
    <row r="267" spans="2:8" x14ac:dyDescent="0.2">
      <c r="B267" s="3">
        <v>2007</v>
      </c>
      <c r="C267" s="3">
        <v>2</v>
      </c>
      <c r="D267" s="3">
        <v>2</v>
      </c>
      <c r="E267" s="3">
        <v>22</v>
      </c>
      <c r="F267" s="4" t="s">
        <v>60</v>
      </c>
      <c r="G267" s="26" t="s">
        <v>15</v>
      </c>
      <c r="H267" s="26" t="s">
        <v>115</v>
      </c>
    </row>
    <row r="268" spans="2:8" x14ac:dyDescent="0.2">
      <c r="B268" s="3">
        <v>2007</v>
      </c>
      <c r="C268" s="3">
        <v>2</v>
      </c>
      <c r="D268" s="3">
        <v>2</v>
      </c>
      <c r="E268" s="3">
        <v>23</v>
      </c>
      <c r="F268" s="4" t="s">
        <v>60</v>
      </c>
      <c r="G268" s="26" t="s">
        <v>15</v>
      </c>
      <c r="H268" s="26" t="s">
        <v>115</v>
      </c>
    </row>
    <row r="269" spans="2:8" x14ac:dyDescent="0.2">
      <c r="B269" s="3">
        <v>2007</v>
      </c>
      <c r="C269" s="3">
        <v>2</v>
      </c>
      <c r="D269" s="3">
        <v>2</v>
      </c>
      <c r="E269" s="3">
        <v>24</v>
      </c>
      <c r="F269" s="4" t="s">
        <v>60</v>
      </c>
      <c r="G269" s="26" t="s">
        <v>15</v>
      </c>
      <c r="H269" s="26" t="s">
        <v>115</v>
      </c>
    </row>
    <row r="270" spans="2:8" x14ac:dyDescent="0.2">
      <c r="B270" s="3">
        <v>2007</v>
      </c>
      <c r="C270" s="3">
        <v>2</v>
      </c>
      <c r="D270" s="3">
        <v>2</v>
      </c>
      <c r="E270" s="3">
        <v>25</v>
      </c>
      <c r="F270" s="4" t="s">
        <v>60</v>
      </c>
      <c r="G270" s="26" t="s">
        <v>15</v>
      </c>
      <c r="H270" s="26" t="s">
        <v>115</v>
      </c>
    </row>
    <row r="271" spans="2:8" x14ac:dyDescent="0.2">
      <c r="B271" s="3">
        <v>2008</v>
      </c>
      <c r="C271" s="3">
        <v>1</v>
      </c>
      <c r="D271" s="3">
        <v>1</v>
      </c>
      <c r="E271" s="3">
        <v>1</v>
      </c>
      <c r="F271" s="4" t="s">
        <v>65</v>
      </c>
      <c r="G271" s="5" t="s">
        <v>18</v>
      </c>
      <c r="H271" s="5" t="s">
        <v>111</v>
      </c>
    </row>
    <row r="272" spans="2:8" x14ac:dyDescent="0.2">
      <c r="B272" s="3">
        <v>2008</v>
      </c>
      <c r="C272" s="3">
        <v>1</v>
      </c>
      <c r="D272" s="3">
        <v>1</v>
      </c>
      <c r="E272" s="3">
        <v>2</v>
      </c>
      <c r="F272" s="4" t="s">
        <v>65</v>
      </c>
      <c r="G272" s="5" t="s">
        <v>18</v>
      </c>
      <c r="H272" s="5" t="s">
        <v>111</v>
      </c>
    </row>
    <row r="273" spans="2:8" x14ac:dyDescent="0.2">
      <c r="B273" s="3">
        <v>2008</v>
      </c>
      <c r="C273" s="3">
        <v>1</v>
      </c>
      <c r="D273" s="3">
        <v>1</v>
      </c>
      <c r="E273" s="3">
        <v>3</v>
      </c>
      <c r="F273" s="4" t="s">
        <v>65</v>
      </c>
      <c r="G273" s="5" t="s">
        <v>18</v>
      </c>
      <c r="H273" s="5" t="s">
        <v>111</v>
      </c>
    </row>
    <row r="274" spans="2:8" x14ac:dyDescent="0.2">
      <c r="B274" s="3">
        <v>2008</v>
      </c>
      <c r="C274" s="3">
        <v>1</v>
      </c>
      <c r="D274" s="3">
        <v>1</v>
      </c>
      <c r="E274" s="3">
        <v>4</v>
      </c>
      <c r="F274" s="4" t="s">
        <v>65</v>
      </c>
      <c r="G274" s="5" t="s">
        <v>18</v>
      </c>
      <c r="H274" s="5" t="s">
        <v>111</v>
      </c>
    </row>
    <row r="275" spans="2:8" x14ac:dyDescent="0.2">
      <c r="B275" s="3">
        <v>2008</v>
      </c>
      <c r="C275" s="3">
        <v>1</v>
      </c>
      <c r="D275" s="3">
        <v>1</v>
      </c>
      <c r="E275" s="3">
        <v>5</v>
      </c>
      <c r="F275" s="4" t="s">
        <v>65</v>
      </c>
      <c r="G275" s="5" t="s">
        <v>18</v>
      </c>
      <c r="H275" s="5" t="s">
        <v>111</v>
      </c>
    </row>
    <row r="276" spans="2:8" x14ac:dyDescent="0.2">
      <c r="B276" s="3">
        <v>2008</v>
      </c>
      <c r="C276" s="3">
        <v>1</v>
      </c>
      <c r="D276" s="3">
        <v>1</v>
      </c>
      <c r="E276" s="3">
        <v>6</v>
      </c>
      <c r="F276" s="4" t="s">
        <v>66</v>
      </c>
      <c r="G276" s="15" t="s">
        <v>15</v>
      </c>
      <c r="H276" s="15" t="s">
        <v>116</v>
      </c>
    </row>
    <row r="277" spans="2:8" x14ac:dyDescent="0.2">
      <c r="B277" s="3">
        <v>2008</v>
      </c>
      <c r="C277" s="3">
        <v>1</v>
      </c>
      <c r="D277" s="3">
        <v>1</v>
      </c>
      <c r="E277" s="3">
        <v>7</v>
      </c>
      <c r="F277" s="4" t="s">
        <v>66</v>
      </c>
      <c r="G277" s="15" t="s">
        <v>15</v>
      </c>
      <c r="H277" s="15" t="s">
        <v>116</v>
      </c>
    </row>
    <row r="278" spans="2:8" x14ac:dyDescent="0.2">
      <c r="B278" s="3">
        <v>2008</v>
      </c>
      <c r="C278" s="3">
        <v>1</v>
      </c>
      <c r="D278" s="3">
        <v>1</v>
      </c>
      <c r="E278" s="3">
        <v>8</v>
      </c>
      <c r="F278" s="4" t="s">
        <v>66</v>
      </c>
      <c r="G278" s="15" t="s">
        <v>15</v>
      </c>
      <c r="H278" s="15" t="s">
        <v>116</v>
      </c>
    </row>
    <row r="279" spans="2:8" x14ac:dyDescent="0.2">
      <c r="B279" s="3">
        <v>2008</v>
      </c>
      <c r="C279" s="3">
        <v>1</v>
      </c>
      <c r="D279" s="3">
        <v>1</v>
      </c>
      <c r="E279" s="3">
        <v>9</v>
      </c>
      <c r="F279" s="4" t="s">
        <v>66</v>
      </c>
      <c r="G279" s="15" t="s">
        <v>15</v>
      </c>
      <c r="H279" s="15" t="s">
        <v>116</v>
      </c>
    </row>
    <row r="280" spans="2:8" x14ac:dyDescent="0.2">
      <c r="B280" s="3">
        <v>2008</v>
      </c>
      <c r="C280" s="3">
        <v>1</v>
      </c>
      <c r="D280" s="3">
        <v>1</v>
      </c>
      <c r="E280" s="3">
        <v>10</v>
      </c>
      <c r="F280" s="4" t="s">
        <v>66</v>
      </c>
      <c r="G280" s="15" t="s">
        <v>15</v>
      </c>
      <c r="H280" s="15" t="s">
        <v>116</v>
      </c>
    </row>
    <row r="281" spans="2:8" x14ac:dyDescent="0.2">
      <c r="B281" s="3">
        <v>2008</v>
      </c>
      <c r="C281" s="3">
        <v>1</v>
      </c>
      <c r="D281" s="3">
        <v>1</v>
      </c>
      <c r="E281" s="3">
        <v>11</v>
      </c>
      <c r="F281" s="4" t="s">
        <v>67</v>
      </c>
      <c r="G281" s="5" t="s">
        <v>18</v>
      </c>
      <c r="H281" s="5" t="s">
        <v>111</v>
      </c>
    </row>
    <row r="282" spans="2:8" x14ac:dyDescent="0.2">
      <c r="B282" s="3">
        <v>2008</v>
      </c>
      <c r="C282" s="3">
        <v>1</v>
      </c>
      <c r="D282" s="3">
        <v>1</v>
      </c>
      <c r="E282" s="3">
        <v>12</v>
      </c>
      <c r="F282" s="4" t="s">
        <v>67</v>
      </c>
      <c r="G282" s="5" t="s">
        <v>18</v>
      </c>
      <c r="H282" s="5" t="s">
        <v>111</v>
      </c>
    </row>
    <row r="283" spans="2:8" x14ac:dyDescent="0.2">
      <c r="B283" s="3">
        <v>2008</v>
      </c>
      <c r="C283" s="3">
        <v>1</v>
      </c>
      <c r="D283" s="3">
        <v>1</v>
      </c>
      <c r="E283" s="3">
        <v>13</v>
      </c>
      <c r="F283" s="4" t="s">
        <v>67</v>
      </c>
      <c r="G283" s="5" t="s">
        <v>18</v>
      </c>
      <c r="H283" s="5" t="s">
        <v>111</v>
      </c>
    </row>
    <row r="284" spans="2:8" x14ac:dyDescent="0.2">
      <c r="B284" s="3">
        <v>2008</v>
      </c>
      <c r="C284" s="3">
        <v>1</v>
      </c>
      <c r="D284" s="3">
        <v>1</v>
      </c>
      <c r="E284" s="3">
        <v>14</v>
      </c>
      <c r="F284" s="4" t="s">
        <v>67</v>
      </c>
      <c r="G284" s="5" t="s">
        <v>18</v>
      </c>
      <c r="H284" s="5" t="s">
        <v>111</v>
      </c>
    </row>
    <row r="285" spans="2:8" x14ac:dyDescent="0.2">
      <c r="B285" s="3">
        <v>2008</v>
      </c>
      <c r="C285" s="3">
        <v>1</v>
      </c>
      <c r="D285" s="3">
        <v>1</v>
      </c>
      <c r="E285" s="3">
        <v>15</v>
      </c>
      <c r="F285" s="4" t="s">
        <v>67</v>
      </c>
      <c r="G285" s="5" t="s">
        <v>18</v>
      </c>
      <c r="H285" s="5" t="s">
        <v>111</v>
      </c>
    </row>
    <row r="286" spans="2:8" x14ac:dyDescent="0.2">
      <c r="B286" s="3">
        <v>2008</v>
      </c>
      <c r="C286" s="3">
        <v>1</v>
      </c>
      <c r="D286" s="3">
        <v>1</v>
      </c>
      <c r="E286" s="3">
        <v>16</v>
      </c>
      <c r="F286" s="4" t="s">
        <v>68</v>
      </c>
      <c r="G286" s="5" t="s">
        <v>18</v>
      </c>
      <c r="H286" s="5" t="s">
        <v>114</v>
      </c>
    </row>
    <row r="287" spans="2:8" x14ac:dyDescent="0.2">
      <c r="B287" s="3">
        <v>2008</v>
      </c>
      <c r="C287" s="3">
        <v>1</v>
      </c>
      <c r="D287" s="3">
        <v>1</v>
      </c>
      <c r="E287" s="3">
        <v>17</v>
      </c>
      <c r="F287" s="4" t="s">
        <v>68</v>
      </c>
      <c r="G287" s="5" t="s">
        <v>18</v>
      </c>
      <c r="H287" s="5" t="s">
        <v>114</v>
      </c>
    </row>
    <row r="288" spans="2:8" x14ac:dyDescent="0.2">
      <c r="B288" s="3">
        <v>2008</v>
      </c>
      <c r="C288" s="3">
        <v>1</v>
      </c>
      <c r="D288" s="3">
        <v>1</v>
      </c>
      <c r="E288" s="3">
        <v>18</v>
      </c>
      <c r="F288" s="4" t="s">
        <v>68</v>
      </c>
      <c r="G288" s="5" t="s">
        <v>18</v>
      </c>
      <c r="H288" s="5" t="s">
        <v>114</v>
      </c>
    </row>
    <row r="289" spans="2:8" x14ac:dyDescent="0.2">
      <c r="B289" s="3">
        <v>2008</v>
      </c>
      <c r="C289" s="3">
        <v>1</v>
      </c>
      <c r="D289" s="3">
        <v>1</v>
      </c>
      <c r="E289" s="3">
        <v>19</v>
      </c>
      <c r="F289" s="4" t="s">
        <v>68</v>
      </c>
      <c r="G289" s="5" t="s">
        <v>18</v>
      </c>
      <c r="H289" s="5" t="s">
        <v>114</v>
      </c>
    </row>
    <row r="290" spans="2:8" x14ac:dyDescent="0.2">
      <c r="B290" s="3">
        <v>2008</v>
      </c>
      <c r="C290" s="3">
        <v>1</v>
      </c>
      <c r="D290" s="3">
        <v>1</v>
      </c>
      <c r="E290" s="3">
        <v>20</v>
      </c>
      <c r="F290" s="4" t="s">
        <v>68</v>
      </c>
      <c r="G290" s="5" t="s">
        <v>18</v>
      </c>
      <c r="H290" s="5" t="s">
        <v>114</v>
      </c>
    </row>
    <row r="291" spans="2:8" x14ac:dyDescent="0.2">
      <c r="B291" s="3">
        <v>2008</v>
      </c>
      <c r="C291" s="3">
        <v>2</v>
      </c>
      <c r="D291" s="3">
        <v>1</v>
      </c>
      <c r="E291" s="3">
        <v>1</v>
      </c>
      <c r="F291" s="4" t="s">
        <v>65</v>
      </c>
      <c r="G291" s="5" t="s">
        <v>18</v>
      </c>
      <c r="H291" s="5" t="s">
        <v>111</v>
      </c>
    </row>
    <row r="292" spans="2:8" x14ac:dyDescent="0.2">
      <c r="B292" s="3">
        <v>2008</v>
      </c>
      <c r="C292" s="3">
        <v>2</v>
      </c>
      <c r="D292" s="3">
        <v>1</v>
      </c>
      <c r="E292" s="3">
        <v>2</v>
      </c>
      <c r="F292" s="4" t="s">
        <v>65</v>
      </c>
      <c r="G292" s="5" t="s">
        <v>18</v>
      </c>
      <c r="H292" s="5" t="s">
        <v>111</v>
      </c>
    </row>
    <row r="293" spans="2:8" x14ac:dyDescent="0.2">
      <c r="B293" s="3">
        <v>2008</v>
      </c>
      <c r="C293" s="3">
        <v>2</v>
      </c>
      <c r="D293" s="3">
        <v>1</v>
      </c>
      <c r="E293" s="3">
        <v>3</v>
      </c>
      <c r="F293" s="4" t="s">
        <v>65</v>
      </c>
      <c r="G293" s="5" t="s">
        <v>18</v>
      </c>
      <c r="H293" s="5" t="s">
        <v>111</v>
      </c>
    </row>
    <row r="294" spans="2:8" x14ac:dyDescent="0.2">
      <c r="B294" s="3">
        <v>2008</v>
      </c>
      <c r="C294" s="3">
        <v>2</v>
      </c>
      <c r="D294" s="3">
        <v>1</v>
      </c>
      <c r="E294" s="3">
        <v>4</v>
      </c>
      <c r="F294" s="4" t="s">
        <v>65</v>
      </c>
      <c r="G294" s="5" t="s">
        <v>18</v>
      </c>
      <c r="H294" s="5" t="s">
        <v>111</v>
      </c>
    </row>
    <row r="295" spans="2:8" x14ac:dyDescent="0.2">
      <c r="B295" s="3">
        <v>2008</v>
      </c>
      <c r="C295" s="3">
        <v>2</v>
      </c>
      <c r="D295" s="3">
        <v>1</v>
      </c>
      <c r="E295" s="3">
        <v>5</v>
      </c>
      <c r="F295" s="4" t="s">
        <v>65</v>
      </c>
      <c r="G295" s="5" t="s">
        <v>18</v>
      </c>
      <c r="H295" s="5" t="s">
        <v>111</v>
      </c>
    </row>
    <row r="296" spans="2:8" x14ac:dyDescent="0.2">
      <c r="B296" s="3">
        <v>2008</v>
      </c>
      <c r="C296" s="3">
        <v>2</v>
      </c>
      <c r="D296" s="3">
        <v>1</v>
      </c>
      <c r="E296" s="3">
        <v>6</v>
      </c>
      <c r="F296" s="4" t="s">
        <v>69</v>
      </c>
      <c r="G296" s="15" t="s">
        <v>15</v>
      </c>
      <c r="H296" s="15" t="s">
        <v>116</v>
      </c>
    </row>
    <row r="297" spans="2:8" x14ac:dyDescent="0.2">
      <c r="B297" s="3">
        <v>2008</v>
      </c>
      <c r="C297" s="3">
        <v>2</v>
      </c>
      <c r="D297" s="3">
        <v>1</v>
      </c>
      <c r="E297" s="3">
        <v>7</v>
      </c>
      <c r="F297" s="4" t="s">
        <v>69</v>
      </c>
      <c r="G297" s="15" t="s">
        <v>15</v>
      </c>
      <c r="H297" s="15" t="s">
        <v>116</v>
      </c>
    </row>
    <row r="298" spans="2:8" x14ac:dyDescent="0.2">
      <c r="B298" s="3">
        <v>2008</v>
      </c>
      <c r="C298" s="3">
        <v>2</v>
      </c>
      <c r="D298" s="3">
        <v>1</v>
      </c>
      <c r="E298" s="3">
        <v>8</v>
      </c>
      <c r="F298" s="4" t="s">
        <v>69</v>
      </c>
      <c r="G298" s="15" t="s">
        <v>15</v>
      </c>
      <c r="H298" s="15" t="s">
        <v>116</v>
      </c>
    </row>
    <row r="299" spans="2:8" x14ac:dyDescent="0.2">
      <c r="B299" s="3">
        <v>2008</v>
      </c>
      <c r="C299" s="3">
        <v>2</v>
      </c>
      <c r="D299" s="3">
        <v>1</v>
      </c>
      <c r="E299" s="3">
        <v>9</v>
      </c>
      <c r="F299" s="4" t="s">
        <v>69</v>
      </c>
      <c r="G299" s="15" t="s">
        <v>15</v>
      </c>
      <c r="H299" s="15" t="s">
        <v>116</v>
      </c>
    </row>
    <row r="300" spans="2:8" x14ac:dyDescent="0.2">
      <c r="B300" s="3">
        <v>2008</v>
      </c>
      <c r="C300" s="3">
        <v>2</v>
      </c>
      <c r="D300" s="3">
        <v>1</v>
      </c>
      <c r="E300" s="3">
        <v>10</v>
      </c>
      <c r="F300" s="4" t="s">
        <v>69</v>
      </c>
      <c r="G300" s="15" t="s">
        <v>15</v>
      </c>
      <c r="H300" s="15" t="s">
        <v>116</v>
      </c>
    </row>
    <row r="301" spans="2:8" x14ac:dyDescent="0.2">
      <c r="B301" s="3">
        <v>2008</v>
      </c>
      <c r="C301" s="3">
        <v>2</v>
      </c>
      <c r="D301" s="3">
        <v>1</v>
      </c>
      <c r="E301" s="3">
        <v>11</v>
      </c>
      <c r="F301" s="4" t="s">
        <v>70</v>
      </c>
      <c r="G301" s="15" t="s">
        <v>98</v>
      </c>
      <c r="H301" s="15" t="s">
        <v>7</v>
      </c>
    </row>
    <row r="302" spans="2:8" x14ac:dyDescent="0.2">
      <c r="B302" s="3">
        <v>2008</v>
      </c>
      <c r="C302" s="3">
        <v>2</v>
      </c>
      <c r="D302" s="3">
        <v>1</v>
      </c>
      <c r="E302" s="3">
        <v>12</v>
      </c>
      <c r="F302" s="4" t="s">
        <v>70</v>
      </c>
      <c r="G302" s="15" t="s">
        <v>98</v>
      </c>
      <c r="H302" s="15" t="s">
        <v>7</v>
      </c>
    </row>
    <row r="303" spans="2:8" x14ac:dyDescent="0.2">
      <c r="B303" s="3">
        <v>2008</v>
      </c>
      <c r="C303" s="3">
        <v>2</v>
      </c>
      <c r="D303" s="3">
        <v>1</v>
      </c>
      <c r="E303" s="3">
        <v>13</v>
      </c>
      <c r="F303" s="4" t="s">
        <v>70</v>
      </c>
      <c r="G303" s="15" t="s">
        <v>98</v>
      </c>
      <c r="H303" s="15" t="s">
        <v>7</v>
      </c>
    </row>
    <row r="304" spans="2:8" x14ac:dyDescent="0.2">
      <c r="B304" s="3">
        <v>2008</v>
      </c>
      <c r="C304" s="3">
        <v>2</v>
      </c>
      <c r="D304" s="3">
        <v>1</v>
      </c>
      <c r="E304" s="3">
        <v>14</v>
      </c>
      <c r="F304" s="4" t="s">
        <v>70</v>
      </c>
      <c r="G304" s="15" t="s">
        <v>98</v>
      </c>
      <c r="H304" s="15" t="s">
        <v>7</v>
      </c>
    </row>
    <row r="305" spans="2:8" x14ac:dyDescent="0.2">
      <c r="B305" s="3">
        <v>2008</v>
      </c>
      <c r="C305" s="3">
        <v>2</v>
      </c>
      <c r="D305" s="3">
        <v>1</v>
      </c>
      <c r="E305" s="3">
        <v>15</v>
      </c>
      <c r="F305" s="4" t="s">
        <v>70</v>
      </c>
      <c r="G305" s="15" t="s">
        <v>98</v>
      </c>
      <c r="H305" s="15" t="s">
        <v>7</v>
      </c>
    </row>
    <row r="306" spans="2:8" x14ac:dyDescent="0.2">
      <c r="B306" s="3">
        <v>2008</v>
      </c>
      <c r="C306" s="3">
        <v>2</v>
      </c>
      <c r="D306" s="3">
        <v>1</v>
      </c>
      <c r="E306" s="3">
        <v>16</v>
      </c>
      <c r="F306" s="4" t="s">
        <v>71</v>
      </c>
      <c r="G306" s="5" t="s">
        <v>18</v>
      </c>
      <c r="H306" s="5" t="s">
        <v>114</v>
      </c>
    </row>
    <row r="307" spans="2:8" x14ac:dyDescent="0.2">
      <c r="B307" s="3">
        <v>2008</v>
      </c>
      <c r="C307" s="3">
        <v>2</v>
      </c>
      <c r="D307" s="3">
        <v>1</v>
      </c>
      <c r="E307" s="3">
        <v>17</v>
      </c>
      <c r="F307" s="4" t="s">
        <v>71</v>
      </c>
      <c r="G307" s="5" t="s">
        <v>18</v>
      </c>
      <c r="H307" s="5" t="s">
        <v>114</v>
      </c>
    </row>
    <row r="308" spans="2:8" x14ac:dyDescent="0.2">
      <c r="B308" s="3">
        <v>2008</v>
      </c>
      <c r="C308" s="3">
        <v>2</v>
      </c>
      <c r="D308" s="3">
        <v>1</v>
      </c>
      <c r="E308" s="3">
        <v>18</v>
      </c>
      <c r="F308" s="4" t="s">
        <v>71</v>
      </c>
      <c r="G308" s="5" t="s">
        <v>18</v>
      </c>
      <c r="H308" s="5" t="s">
        <v>114</v>
      </c>
    </row>
    <row r="309" spans="2:8" x14ac:dyDescent="0.2">
      <c r="B309" s="3">
        <v>2008</v>
      </c>
      <c r="C309" s="3">
        <v>2</v>
      </c>
      <c r="D309" s="3">
        <v>1</v>
      </c>
      <c r="E309" s="3">
        <v>19</v>
      </c>
      <c r="F309" s="4" t="s">
        <v>71</v>
      </c>
      <c r="G309" s="5" t="s">
        <v>18</v>
      </c>
      <c r="H309" s="5" t="s">
        <v>114</v>
      </c>
    </row>
    <row r="310" spans="2:8" x14ac:dyDescent="0.2">
      <c r="B310" s="3">
        <v>2008</v>
      </c>
      <c r="C310" s="3">
        <v>2</v>
      </c>
      <c r="D310" s="3">
        <v>1</v>
      </c>
      <c r="E310" s="3">
        <v>20</v>
      </c>
      <c r="F310" s="4" t="s">
        <v>71</v>
      </c>
      <c r="G310" s="5" t="s">
        <v>18</v>
      </c>
      <c r="H310" s="5" t="s">
        <v>114</v>
      </c>
    </row>
    <row r="311" spans="2:8" x14ac:dyDescent="0.2">
      <c r="B311" s="3">
        <v>2008</v>
      </c>
      <c r="C311" s="3">
        <v>1</v>
      </c>
      <c r="D311" s="3">
        <v>2</v>
      </c>
      <c r="E311" s="3">
        <v>1</v>
      </c>
      <c r="F311" s="4" t="s">
        <v>72</v>
      </c>
      <c r="G311" s="5" t="s">
        <v>18</v>
      </c>
      <c r="H311" s="5" t="s">
        <v>114</v>
      </c>
    </row>
    <row r="312" spans="2:8" x14ac:dyDescent="0.2">
      <c r="B312" s="3">
        <v>2008</v>
      </c>
      <c r="C312" s="3">
        <v>1</v>
      </c>
      <c r="D312" s="3">
        <v>2</v>
      </c>
      <c r="E312" s="3">
        <v>2</v>
      </c>
      <c r="F312" s="4" t="s">
        <v>72</v>
      </c>
      <c r="G312" s="5" t="s">
        <v>18</v>
      </c>
      <c r="H312" s="5" t="s">
        <v>114</v>
      </c>
    </row>
    <row r="313" spans="2:8" x14ac:dyDescent="0.2">
      <c r="B313" s="3">
        <v>2008</v>
      </c>
      <c r="C313" s="3">
        <v>1</v>
      </c>
      <c r="D313" s="3">
        <v>2</v>
      </c>
      <c r="E313" s="3">
        <v>3</v>
      </c>
      <c r="F313" s="4" t="s">
        <v>72</v>
      </c>
      <c r="G313" s="5" t="s">
        <v>18</v>
      </c>
      <c r="H313" s="5" t="s">
        <v>114</v>
      </c>
    </row>
    <row r="314" spans="2:8" x14ac:dyDescent="0.2">
      <c r="B314" s="3">
        <v>2008</v>
      </c>
      <c r="C314" s="3">
        <v>1</v>
      </c>
      <c r="D314" s="3">
        <v>2</v>
      </c>
      <c r="E314" s="3">
        <v>4</v>
      </c>
      <c r="F314" s="4" t="s">
        <v>72</v>
      </c>
      <c r="G314" s="5" t="s">
        <v>18</v>
      </c>
      <c r="H314" s="5" t="s">
        <v>114</v>
      </c>
    </row>
    <row r="315" spans="2:8" x14ac:dyDescent="0.2">
      <c r="B315" s="3">
        <v>2008</v>
      </c>
      <c r="C315" s="3">
        <v>1</v>
      </c>
      <c r="D315" s="3">
        <v>2</v>
      </c>
      <c r="E315" s="3">
        <v>5</v>
      </c>
      <c r="F315" s="4" t="s">
        <v>72</v>
      </c>
      <c r="G315" s="5" t="s">
        <v>18</v>
      </c>
      <c r="H315" s="5" t="s">
        <v>114</v>
      </c>
    </row>
    <row r="316" spans="2:8" x14ac:dyDescent="0.2">
      <c r="B316" s="3">
        <v>2008</v>
      </c>
      <c r="C316" s="3">
        <v>1</v>
      </c>
      <c r="D316" s="3">
        <v>2</v>
      </c>
      <c r="E316" s="3">
        <v>6</v>
      </c>
      <c r="F316" s="4" t="s">
        <v>73</v>
      </c>
      <c r="G316" s="15" t="s">
        <v>15</v>
      </c>
      <c r="H316" s="15" t="s">
        <v>116</v>
      </c>
    </row>
    <row r="317" spans="2:8" x14ac:dyDescent="0.2">
      <c r="B317" s="3">
        <v>2008</v>
      </c>
      <c r="C317" s="3">
        <v>1</v>
      </c>
      <c r="D317" s="3">
        <v>2</v>
      </c>
      <c r="E317" s="3">
        <v>7</v>
      </c>
      <c r="F317" s="4" t="s">
        <v>73</v>
      </c>
      <c r="G317" s="15" t="s">
        <v>15</v>
      </c>
      <c r="H317" s="15" t="s">
        <v>116</v>
      </c>
    </row>
    <row r="318" spans="2:8" x14ac:dyDescent="0.2">
      <c r="B318" s="3">
        <v>2008</v>
      </c>
      <c r="C318" s="3">
        <v>1</v>
      </c>
      <c r="D318" s="3">
        <v>2</v>
      </c>
      <c r="E318" s="3">
        <v>8</v>
      </c>
      <c r="F318" s="4" t="s">
        <v>73</v>
      </c>
      <c r="G318" s="15" t="s">
        <v>15</v>
      </c>
      <c r="H318" s="15" t="s">
        <v>116</v>
      </c>
    </row>
    <row r="319" spans="2:8" x14ac:dyDescent="0.2">
      <c r="B319" s="3">
        <v>2008</v>
      </c>
      <c r="C319" s="3">
        <v>1</v>
      </c>
      <c r="D319" s="3">
        <v>2</v>
      </c>
      <c r="E319" s="3">
        <v>9</v>
      </c>
      <c r="F319" s="4" t="s">
        <v>73</v>
      </c>
      <c r="G319" s="15" t="s">
        <v>15</v>
      </c>
      <c r="H319" s="15" t="s">
        <v>116</v>
      </c>
    </row>
    <row r="320" spans="2:8" x14ac:dyDescent="0.2">
      <c r="B320" s="3">
        <v>2008</v>
      </c>
      <c r="C320" s="3">
        <v>1</v>
      </c>
      <c r="D320" s="3">
        <v>2</v>
      </c>
      <c r="E320" s="3">
        <v>10</v>
      </c>
      <c r="F320" s="4" t="s">
        <v>73</v>
      </c>
      <c r="G320" s="15" t="s">
        <v>15</v>
      </c>
      <c r="H320" s="15" t="s">
        <v>116</v>
      </c>
    </row>
    <row r="321" spans="2:8" x14ac:dyDescent="0.2">
      <c r="B321" s="3">
        <v>2008</v>
      </c>
      <c r="C321" s="3">
        <v>1</v>
      </c>
      <c r="D321" s="3">
        <v>2</v>
      </c>
      <c r="E321" s="3">
        <v>11</v>
      </c>
      <c r="F321" s="4" t="s">
        <v>74</v>
      </c>
      <c r="G321" s="5" t="s">
        <v>15</v>
      </c>
      <c r="H321" s="5" t="s">
        <v>116</v>
      </c>
    </row>
    <row r="322" spans="2:8" x14ac:dyDescent="0.2">
      <c r="B322" s="3">
        <v>2008</v>
      </c>
      <c r="C322" s="3">
        <v>1</v>
      </c>
      <c r="D322" s="3">
        <v>2</v>
      </c>
      <c r="E322" s="3">
        <v>12</v>
      </c>
      <c r="F322" s="4" t="s">
        <v>74</v>
      </c>
      <c r="G322" s="5" t="s">
        <v>15</v>
      </c>
      <c r="H322" s="5" t="s">
        <v>116</v>
      </c>
    </row>
    <row r="323" spans="2:8" x14ac:dyDescent="0.2">
      <c r="B323" s="3">
        <v>2008</v>
      </c>
      <c r="C323" s="3">
        <v>1</v>
      </c>
      <c r="D323" s="3">
        <v>2</v>
      </c>
      <c r="E323" s="3">
        <v>13</v>
      </c>
      <c r="F323" s="4" t="s">
        <v>74</v>
      </c>
      <c r="G323" s="5" t="s">
        <v>15</v>
      </c>
      <c r="H323" s="5" t="s">
        <v>116</v>
      </c>
    </row>
    <row r="324" spans="2:8" x14ac:dyDescent="0.2">
      <c r="B324" s="3">
        <v>2008</v>
      </c>
      <c r="C324" s="3">
        <v>1</v>
      </c>
      <c r="D324" s="3">
        <v>2</v>
      </c>
      <c r="E324" s="3">
        <v>14</v>
      </c>
      <c r="F324" s="4" t="s">
        <v>74</v>
      </c>
      <c r="G324" s="5" t="s">
        <v>15</v>
      </c>
      <c r="H324" s="5" t="s">
        <v>116</v>
      </c>
    </row>
    <row r="325" spans="2:8" x14ac:dyDescent="0.2">
      <c r="B325" s="3">
        <v>2008</v>
      </c>
      <c r="C325" s="3">
        <v>1</v>
      </c>
      <c r="D325" s="3">
        <v>2</v>
      </c>
      <c r="E325" s="3">
        <v>15</v>
      </c>
      <c r="F325" s="4" t="s">
        <v>74</v>
      </c>
      <c r="G325" s="5" t="s">
        <v>15</v>
      </c>
      <c r="H325" s="5" t="s">
        <v>116</v>
      </c>
    </row>
    <row r="326" spans="2:8" x14ac:dyDescent="0.2">
      <c r="B326" s="3">
        <v>2008</v>
      </c>
      <c r="C326" s="3">
        <v>1</v>
      </c>
      <c r="D326" s="3">
        <v>2</v>
      </c>
      <c r="E326" s="3">
        <v>16</v>
      </c>
      <c r="F326" s="4" t="s">
        <v>75</v>
      </c>
      <c r="G326" s="5" t="s">
        <v>15</v>
      </c>
      <c r="H326" s="5" t="s">
        <v>116</v>
      </c>
    </row>
    <row r="327" spans="2:8" x14ac:dyDescent="0.2">
      <c r="B327" s="3">
        <v>2008</v>
      </c>
      <c r="C327" s="3">
        <v>1</v>
      </c>
      <c r="D327" s="3">
        <v>2</v>
      </c>
      <c r="E327" s="3">
        <v>17</v>
      </c>
      <c r="F327" s="4" t="s">
        <v>75</v>
      </c>
      <c r="G327" s="5" t="s">
        <v>15</v>
      </c>
      <c r="H327" s="5" t="s">
        <v>116</v>
      </c>
    </row>
    <row r="328" spans="2:8" x14ac:dyDescent="0.2">
      <c r="B328" s="3">
        <v>2008</v>
      </c>
      <c r="C328" s="3">
        <v>1</v>
      </c>
      <c r="D328" s="3">
        <v>2</v>
      </c>
      <c r="E328" s="3">
        <v>18</v>
      </c>
      <c r="F328" s="4" t="s">
        <v>75</v>
      </c>
      <c r="G328" s="5" t="s">
        <v>15</v>
      </c>
      <c r="H328" s="5" t="s">
        <v>116</v>
      </c>
    </row>
    <row r="329" spans="2:8" x14ac:dyDescent="0.2">
      <c r="B329" s="3">
        <v>2008</v>
      </c>
      <c r="C329" s="3">
        <v>1</v>
      </c>
      <c r="D329" s="3">
        <v>2</v>
      </c>
      <c r="E329" s="3">
        <v>19</v>
      </c>
      <c r="F329" s="4" t="s">
        <v>75</v>
      </c>
      <c r="G329" s="5" t="s">
        <v>15</v>
      </c>
      <c r="H329" s="5" t="s">
        <v>116</v>
      </c>
    </row>
    <row r="330" spans="2:8" x14ac:dyDescent="0.2">
      <c r="B330" s="3">
        <v>2008</v>
      </c>
      <c r="C330" s="3">
        <v>1</v>
      </c>
      <c r="D330" s="3">
        <v>2</v>
      </c>
      <c r="E330" s="3">
        <v>20</v>
      </c>
      <c r="F330" s="4" t="s">
        <v>75</v>
      </c>
      <c r="G330" s="5" t="s">
        <v>15</v>
      </c>
      <c r="H330" s="5" t="s">
        <v>116</v>
      </c>
    </row>
    <row r="331" spans="2:8" x14ac:dyDescent="0.2">
      <c r="B331" s="3">
        <v>2008</v>
      </c>
      <c r="C331" s="3">
        <v>1</v>
      </c>
      <c r="D331" s="3">
        <v>2</v>
      </c>
      <c r="E331" s="3">
        <v>21</v>
      </c>
      <c r="F331" s="4" t="s">
        <v>76</v>
      </c>
      <c r="G331" s="26" t="s">
        <v>18</v>
      </c>
      <c r="H331" s="26" t="s">
        <v>114</v>
      </c>
    </row>
    <row r="332" spans="2:8" x14ac:dyDescent="0.2">
      <c r="B332" s="3">
        <v>2008</v>
      </c>
      <c r="C332" s="3">
        <v>1</v>
      </c>
      <c r="D332" s="3">
        <v>2</v>
      </c>
      <c r="E332" s="3">
        <v>22</v>
      </c>
      <c r="F332" s="4" t="s">
        <v>76</v>
      </c>
      <c r="G332" s="26" t="s">
        <v>18</v>
      </c>
      <c r="H332" s="26" t="s">
        <v>114</v>
      </c>
    </row>
    <row r="333" spans="2:8" x14ac:dyDescent="0.2">
      <c r="B333" s="3">
        <v>2008</v>
      </c>
      <c r="C333" s="3">
        <v>1</v>
      </c>
      <c r="D333" s="3">
        <v>2</v>
      </c>
      <c r="E333" s="3">
        <v>23</v>
      </c>
      <c r="F333" s="4" t="s">
        <v>76</v>
      </c>
      <c r="G333" s="26" t="s">
        <v>18</v>
      </c>
      <c r="H333" s="26" t="s">
        <v>114</v>
      </c>
    </row>
    <row r="334" spans="2:8" x14ac:dyDescent="0.2">
      <c r="B334" s="3">
        <v>2008</v>
      </c>
      <c r="C334" s="3">
        <v>1</v>
      </c>
      <c r="D334" s="3">
        <v>2</v>
      </c>
      <c r="E334" s="3">
        <v>24</v>
      </c>
      <c r="F334" s="4" t="s">
        <v>76</v>
      </c>
      <c r="G334" s="26" t="s">
        <v>18</v>
      </c>
      <c r="H334" s="26" t="s">
        <v>114</v>
      </c>
    </row>
    <row r="335" spans="2:8" x14ac:dyDescent="0.2">
      <c r="B335" s="3">
        <v>2008</v>
      </c>
      <c r="C335" s="3">
        <v>1</v>
      </c>
      <c r="D335" s="3">
        <v>2</v>
      </c>
      <c r="E335" s="3">
        <v>25</v>
      </c>
      <c r="F335" s="4" t="s">
        <v>76</v>
      </c>
      <c r="G335" s="26" t="s">
        <v>18</v>
      </c>
      <c r="H335" s="26" t="s">
        <v>114</v>
      </c>
    </row>
    <row r="336" spans="2:8" x14ac:dyDescent="0.2">
      <c r="B336" s="3">
        <v>2008</v>
      </c>
      <c r="C336" s="3">
        <v>2</v>
      </c>
      <c r="D336" s="3">
        <v>2</v>
      </c>
      <c r="E336" s="3">
        <v>1</v>
      </c>
      <c r="F336" s="4" t="s">
        <v>72</v>
      </c>
      <c r="G336" s="5" t="s">
        <v>18</v>
      </c>
      <c r="H336" s="5" t="s">
        <v>114</v>
      </c>
    </row>
    <row r="337" spans="2:8" x14ac:dyDescent="0.2">
      <c r="B337" s="3">
        <v>2008</v>
      </c>
      <c r="C337" s="3">
        <v>2</v>
      </c>
      <c r="D337" s="3">
        <v>2</v>
      </c>
      <c r="E337" s="3">
        <v>2</v>
      </c>
      <c r="F337" s="4" t="s">
        <v>72</v>
      </c>
      <c r="G337" s="5" t="s">
        <v>18</v>
      </c>
      <c r="H337" s="5" t="s">
        <v>114</v>
      </c>
    </row>
    <row r="338" spans="2:8" x14ac:dyDescent="0.2">
      <c r="B338" s="3">
        <v>2008</v>
      </c>
      <c r="C338" s="3">
        <v>2</v>
      </c>
      <c r="D338" s="3">
        <v>2</v>
      </c>
      <c r="E338" s="3">
        <v>3</v>
      </c>
      <c r="F338" s="4" t="s">
        <v>72</v>
      </c>
      <c r="G338" s="5" t="s">
        <v>18</v>
      </c>
      <c r="H338" s="5" t="s">
        <v>114</v>
      </c>
    </row>
    <row r="339" spans="2:8" x14ac:dyDescent="0.2">
      <c r="B339" s="3">
        <v>2008</v>
      </c>
      <c r="C339" s="3">
        <v>2</v>
      </c>
      <c r="D339" s="3">
        <v>2</v>
      </c>
      <c r="E339" s="3">
        <v>4</v>
      </c>
      <c r="F339" s="4" t="s">
        <v>72</v>
      </c>
      <c r="G339" s="5" t="s">
        <v>18</v>
      </c>
      <c r="H339" s="5" t="s">
        <v>114</v>
      </c>
    </row>
    <row r="340" spans="2:8" x14ac:dyDescent="0.2">
      <c r="B340" s="3">
        <v>2008</v>
      </c>
      <c r="C340" s="3">
        <v>2</v>
      </c>
      <c r="D340" s="3">
        <v>2</v>
      </c>
      <c r="E340" s="3">
        <v>5</v>
      </c>
      <c r="F340" s="4" t="s">
        <v>72</v>
      </c>
      <c r="G340" s="5" t="s">
        <v>18</v>
      </c>
      <c r="H340" s="5" t="s">
        <v>114</v>
      </c>
    </row>
    <row r="341" spans="2:8" x14ac:dyDescent="0.2">
      <c r="B341" s="3">
        <v>2008</v>
      </c>
      <c r="C341" s="3">
        <v>2</v>
      </c>
      <c r="D341" s="3">
        <v>2</v>
      </c>
      <c r="E341" s="3">
        <v>6</v>
      </c>
      <c r="F341" s="4" t="s">
        <v>55</v>
      </c>
      <c r="G341" s="26" t="s">
        <v>18</v>
      </c>
      <c r="H341" s="26" t="s">
        <v>111</v>
      </c>
    </row>
    <row r="342" spans="2:8" x14ac:dyDescent="0.2">
      <c r="B342" s="3">
        <v>2008</v>
      </c>
      <c r="C342" s="3">
        <v>2</v>
      </c>
      <c r="D342" s="3">
        <v>2</v>
      </c>
      <c r="E342" s="3">
        <v>7</v>
      </c>
      <c r="F342" s="4" t="s">
        <v>55</v>
      </c>
      <c r="G342" s="26" t="s">
        <v>18</v>
      </c>
      <c r="H342" s="26" t="s">
        <v>111</v>
      </c>
    </row>
    <row r="343" spans="2:8" x14ac:dyDescent="0.2">
      <c r="B343" s="3">
        <v>2008</v>
      </c>
      <c r="C343" s="3">
        <v>2</v>
      </c>
      <c r="D343" s="3">
        <v>2</v>
      </c>
      <c r="E343" s="3">
        <v>8</v>
      </c>
      <c r="F343" s="4" t="s">
        <v>55</v>
      </c>
      <c r="G343" s="26" t="s">
        <v>18</v>
      </c>
      <c r="H343" s="26" t="s">
        <v>111</v>
      </c>
    </row>
    <row r="344" spans="2:8" x14ac:dyDescent="0.2">
      <c r="B344" s="3">
        <v>2008</v>
      </c>
      <c r="C344" s="3">
        <v>2</v>
      </c>
      <c r="D344" s="3">
        <v>2</v>
      </c>
      <c r="E344" s="3">
        <v>9</v>
      </c>
      <c r="F344" s="4" t="s">
        <v>55</v>
      </c>
      <c r="G344" s="26" t="s">
        <v>18</v>
      </c>
      <c r="H344" s="26" t="s">
        <v>111</v>
      </c>
    </row>
    <row r="345" spans="2:8" x14ac:dyDescent="0.2">
      <c r="B345" s="3">
        <v>2008</v>
      </c>
      <c r="C345" s="3">
        <v>2</v>
      </c>
      <c r="D345" s="3">
        <v>2</v>
      </c>
      <c r="E345" s="3">
        <v>10</v>
      </c>
      <c r="F345" s="4" t="s">
        <v>55</v>
      </c>
      <c r="G345" s="26" t="s">
        <v>18</v>
      </c>
      <c r="H345" s="26" t="s">
        <v>111</v>
      </c>
    </row>
    <row r="346" spans="2:8" x14ac:dyDescent="0.2">
      <c r="B346" s="3">
        <v>2008</v>
      </c>
      <c r="C346" s="3">
        <v>2</v>
      </c>
      <c r="D346" s="3">
        <v>2</v>
      </c>
      <c r="E346" s="3">
        <v>11</v>
      </c>
      <c r="F346" s="4" t="s">
        <v>77</v>
      </c>
      <c r="G346" s="5" t="s">
        <v>15</v>
      </c>
      <c r="H346" s="5" t="s">
        <v>116</v>
      </c>
    </row>
    <row r="347" spans="2:8" x14ac:dyDescent="0.2">
      <c r="B347" s="3">
        <v>2008</v>
      </c>
      <c r="C347" s="3">
        <v>2</v>
      </c>
      <c r="D347" s="3">
        <v>2</v>
      </c>
      <c r="E347" s="3">
        <v>12</v>
      </c>
      <c r="F347" s="4" t="s">
        <v>77</v>
      </c>
      <c r="G347" s="5" t="s">
        <v>15</v>
      </c>
      <c r="H347" s="5" t="s">
        <v>116</v>
      </c>
    </row>
    <row r="348" spans="2:8" x14ac:dyDescent="0.2">
      <c r="B348" s="3">
        <v>2008</v>
      </c>
      <c r="C348" s="3">
        <v>2</v>
      </c>
      <c r="D348" s="3">
        <v>2</v>
      </c>
      <c r="E348" s="3">
        <v>13</v>
      </c>
      <c r="F348" s="4" t="s">
        <v>77</v>
      </c>
      <c r="G348" s="5" t="s">
        <v>15</v>
      </c>
      <c r="H348" s="5" t="s">
        <v>116</v>
      </c>
    </row>
    <row r="349" spans="2:8" x14ac:dyDescent="0.2">
      <c r="B349" s="3">
        <v>2008</v>
      </c>
      <c r="C349" s="3">
        <v>2</v>
      </c>
      <c r="D349" s="3">
        <v>2</v>
      </c>
      <c r="E349" s="3">
        <v>14</v>
      </c>
      <c r="F349" s="4" t="s">
        <v>77</v>
      </c>
      <c r="G349" s="5" t="s">
        <v>15</v>
      </c>
      <c r="H349" s="5" t="s">
        <v>116</v>
      </c>
    </row>
    <row r="350" spans="2:8" x14ac:dyDescent="0.2">
      <c r="B350" s="3">
        <v>2008</v>
      </c>
      <c r="C350" s="3">
        <v>2</v>
      </c>
      <c r="D350" s="3">
        <v>2</v>
      </c>
      <c r="E350" s="3">
        <v>15</v>
      </c>
      <c r="F350" s="4" t="s">
        <v>77</v>
      </c>
      <c r="G350" s="5" t="s">
        <v>15</v>
      </c>
      <c r="H350" s="5" t="s">
        <v>116</v>
      </c>
    </row>
    <row r="351" spans="2:8" x14ac:dyDescent="0.2">
      <c r="B351" s="3">
        <v>2008</v>
      </c>
      <c r="C351" s="3">
        <v>2</v>
      </c>
      <c r="D351" s="3">
        <v>2</v>
      </c>
      <c r="E351" s="3">
        <v>16</v>
      </c>
      <c r="F351" s="4" t="s">
        <v>78</v>
      </c>
      <c r="G351" s="5" t="s">
        <v>15</v>
      </c>
      <c r="H351" s="5" t="s">
        <v>116</v>
      </c>
    </row>
    <row r="352" spans="2:8" x14ac:dyDescent="0.2">
      <c r="B352" s="3">
        <v>2008</v>
      </c>
      <c r="C352" s="3">
        <v>2</v>
      </c>
      <c r="D352" s="3">
        <v>2</v>
      </c>
      <c r="E352" s="3">
        <v>17</v>
      </c>
      <c r="F352" s="4" t="s">
        <v>78</v>
      </c>
      <c r="G352" s="5" t="s">
        <v>15</v>
      </c>
      <c r="H352" s="5" t="s">
        <v>116</v>
      </c>
    </row>
    <row r="353" spans="2:8" x14ac:dyDescent="0.2">
      <c r="B353" s="3">
        <v>2008</v>
      </c>
      <c r="C353" s="3">
        <v>2</v>
      </c>
      <c r="D353" s="3">
        <v>2</v>
      </c>
      <c r="E353" s="3">
        <v>18</v>
      </c>
      <c r="F353" s="4" t="s">
        <v>78</v>
      </c>
      <c r="G353" s="5" t="s">
        <v>15</v>
      </c>
      <c r="H353" s="5" t="s">
        <v>116</v>
      </c>
    </row>
    <row r="354" spans="2:8" x14ac:dyDescent="0.2">
      <c r="B354" s="3">
        <v>2008</v>
      </c>
      <c r="C354" s="3">
        <v>2</v>
      </c>
      <c r="D354" s="3">
        <v>2</v>
      </c>
      <c r="E354" s="3">
        <v>19</v>
      </c>
      <c r="F354" s="4" t="s">
        <v>78</v>
      </c>
      <c r="G354" s="5" t="s">
        <v>15</v>
      </c>
      <c r="H354" s="5" t="s">
        <v>116</v>
      </c>
    </row>
    <row r="355" spans="2:8" x14ac:dyDescent="0.2">
      <c r="B355" s="3">
        <v>2008</v>
      </c>
      <c r="C355" s="3">
        <v>2</v>
      </c>
      <c r="D355" s="3">
        <v>2</v>
      </c>
      <c r="E355" s="3">
        <v>20</v>
      </c>
      <c r="F355" s="4" t="s">
        <v>78</v>
      </c>
      <c r="G355" s="5" t="s">
        <v>15</v>
      </c>
      <c r="H355" s="5" t="s">
        <v>116</v>
      </c>
    </row>
    <row r="356" spans="2:8" x14ac:dyDescent="0.2">
      <c r="B356" s="3">
        <v>2008</v>
      </c>
      <c r="C356" s="3">
        <v>2</v>
      </c>
      <c r="D356" s="3">
        <v>2</v>
      </c>
      <c r="E356" s="3">
        <v>21</v>
      </c>
      <c r="F356" s="4" t="s">
        <v>79</v>
      </c>
      <c r="G356" s="5" t="s">
        <v>18</v>
      </c>
      <c r="H356" s="5" t="s">
        <v>114</v>
      </c>
    </row>
    <row r="357" spans="2:8" x14ac:dyDescent="0.2">
      <c r="B357" s="3">
        <v>2008</v>
      </c>
      <c r="C357" s="3">
        <v>2</v>
      </c>
      <c r="D357" s="3">
        <v>2</v>
      </c>
      <c r="E357" s="3">
        <v>22</v>
      </c>
      <c r="F357" s="4" t="s">
        <v>79</v>
      </c>
      <c r="G357" s="5" t="s">
        <v>18</v>
      </c>
      <c r="H357" s="5" t="s">
        <v>114</v>
      </c>
    </row>
    <row r="358" spans="2:8" x14ac:dyDescent="0.2">
      <c r="B358" s="3">
        <v>2008</v>
      </c>
      <c r="C358" s="3">
        <v>2</v>
      </c>
      <c r="D358" s="3">
        <v>2</v>
      </c>
      <c r="E358" s="3">
        <v>23</v>
      </c>
      <c r="F358" s="4" t="s">
        <v>79</v>
      </c>
      <c r="G358" s="5" t="s">
        <v>18</v>
      </c>
      <c r="H358" s="5" t="s">
        <v>114</v>
      </c>
    </row>
    <row r="359" spans="2:8" x14ac:dyDescent="0.2">
      <c r="B359" s="3">
        <v>2008</v>
      </c>
      <c r="C359" s="3">
        <v>2</v>
      </c>
      <c r="D359" s="3">
        <v>2</v>
      </c>
      <c r="E359" s="3">
        <v>24</v>
      </c>
      <c r="F359" s="4" t="s">
        <v>79</v>
      </c>
      <c r="G359" s="5" t="s">
        <v>18</v>
      </c>
      <c r="H359" s="5" t="s">
        <v>114</v>
      </c>
    </row>
    <row r="360" spans="2:8" x14ac:dyDescent="0.2">
      <c r="B360" s="3">
        <v>2008</v>
      </c>
      <c r="C360" s="3">
        <v>2</v>
      </c>
      <c r="D360" s="3">
        <v>2</v>
      </c>
      <c r="E360" s="3">
        <v>25</v>
      </c>
      <c r="F360" s="4" t="s">
        <v>79</v>
      </c>
      <c r="G360" s="5" t="s">
        <v>18</v>
      </c>
      <c r="H360" s="5" t="s">
        <v>114</v>
      </c>
    </row>
    <row r="361" spans="2:8" x14ac:dyDescent="0.2">
      <c r="B361" s="3">
        <v>2009</v>
      </c>
      <c r="C361" s="3">
        <v>1</v>
      </c>
      <c r="D361" s="3">
        <v>1</v>
      </c>
      <c r="E361" s="3">
        <v>1</v>
      </c>
      <c r="F361" s="4" t="s">
        <v>80</v>
      </c>
      <c r="G361" s="5" t="s">
        <v>15</v>
      </c>
      <c r="H361" s="5" t="s">
        <v>115</v>
      </c>
    </row>
    <row r="362" spans="2:8" x14ac:dyDescent="0.2">
      <c r="B362" s="3">
        <v>2009</v>
      </c>
      <c r="C362" s="3">
        <v>1</v>
      </c>
      <c r="D362" s="3">
        <v>1</v>
      </c>
      <c r="E362" s="3">
        <v>2</v>
      </c>
      <c r="F362" s="4" t="s">
        <v>80</v>
      </c>
      <c r="G362" s="5" t="s">
        <v>15</v>
      </c>
      <c r="H362" s="5" t="s">
        <v>115</v>
      </c>
    </row>
    <row r="363" spans="2:8" x14ac:dyDescent="0.2">
      <c r="B363" s="3">
        <v>2009</v>
      </c>
      <c r="C363" s="3">
        <v>1</v>
      </c>
      <c r="D363" s="3">
        <v>1</v>
      </c>
      <c r="E363" s="3">
        <v>3</v>
      </c>
      <c r="F363" s="4" t="s">
        <v>80</v>
      </c>
      <c r="G363" s="5" t="s">
        <v>15</v>
      </c>
      <c r="H363" s="5" t="s">
        <v>115</v>
      </c>
    </row>
    <row r="364" spans="2:8" x14ac:dyDescent="0.2">
      <c r="B364" s="3">
        <v>2009</v>
      </c>
      <c r="C364" s="3">
        <v>1</v>
      </c>
      <c r="D364" s="3">
        <v>1</v>
      </c>
      <c r="E364" s="3">
        <v>4</v>
      </c>
      <c r="F364" s="4" t="s">
        <v>80</v>
      </c>
      <c r="G364" s="5" t="s">
        <v>15</v>
      </c>
      <c r="H364" s="5" t="s">
        <v>115</v>
      </c>
    </row>
    <row r="365" spans="2:8" x14ac:dyDescent="0.2">
      <c r="B365" s="3">
        <v>2009</v>
      </c>
      <c r="C365" s="3">
        <v>1</v>
      </c>
      <c r="D365" s="3">
        <v>1</v>
      </c>
      <c r="E365" s="3">
        <v>5</v>
      </c>
      <c r="F365" s="4" t="s">
        <v>80</v>
      </c>
      <c r="G365" s="5" t="s">
        <v>15</v>
      </c>
      <c r="H365" s="5" t="s">
        <v>115</v>
      </c>
    </row>
    <row r="366" spans="2:8" x14ac:dyDescent="0.2">
      <c r="B366" s="3">
        <v>2009</v>
      </c>
      <c r="C366" s="3">
        <v>1</v>
      </c>
      <c r="D366" s="3">
        <v>1</v>
      </c>
      <c r="E366" s="3">
        <v>6</v>
      </c>
      <c r="F366" s="4" t="s">
        <v>81</v>
      </c>
      <c r="G366" s="5" t="s">
        <v>98</v>
      </c>
      <c r="H366" s="5" t="s">
        <v>11</v>
      </c>
    </row>
    <row r="367" spans="2:8" x14ac:dyDescent="0.2">
      <c r="B367" s="3">
        <v>2009</v>
      </c>
      <c r="C367" s="3">
        <v>1</v>
      </c>
      <c r="D367" s="3">
        <v>1</v>
      </c>
      <c r="E367" s="3">
        <v>7</v>
      </c>
      <c r="F367" s="4" t="s">
        <v>81</v>
      </c>
      <c r="G367" s="5" t="s">
        <v>98</v>
      </c>
      <c r="H367" s="5" t="s">
        <v>11</v>
      </c>
    </row>
    <row r="368" spans="2:8" x14ac:dyDescent="0.2">
      <c r="B368" s="3">
        <v>2009</v>
      </c>
      <c r="C368" s="3">
        <v>1</v>
      </c>
      <c r="D368" s="3">
        <v>1</v>
      </c>
      <c r="E368" s="3">
        <v>8</v>
      </c>
      <c r="F368" s="4" t="s">
        <v>81</v>
      </c>
      <c r="G368" s="5" t="s">
        <v>98</v>
      </c>
      <c r="H368" s="5" t="s">
        <v>11</v>
      </c>
    </row>
    <row r="369" spans="2:8" x14ac:dyDescent="0.2">
      <c r="B369" s="3">
        <v>2009</v>
      </c>
      <c r="C369" s="3">
        <v>1</v>
      </c>
      <c r="D369" s="3">
        <v>1</v>
      </c>
      <c r="E369" s="3">
        <v>9</v>
      </c>
      <c r="F369" s="4" t="s">
        <v>81</v>
      </c>
      <c r="G369" s="5" t="s">
        <v>98</v>
      </c>
      <c r="H369" s="5" t="s">
        <v>11</v>
      </c>
    </row>
    <row r="370" spans="2:8" x14ac:dyDescent="0.2">
      <c r="B370" s="3">
        <v>2009</v>
      </c>
      <c r="C370" s="3">
        <v>1</v>
      </c>
      <c r="D370" s="3">
        <v>1</v>
      </c>
      <c r="E370" s="3">
        <v>10</v>
      </c>
      <c r="F370" s="4" t="s">
        <v>81</v>
      </c>
      <c r="G370" s="5" t="s">
        <v>98</v>
      </c>
      <c r="H370" s="5" t="s">
        <v>11</v>
      </c>
    </row>
    <row r="371" spans="2:8" x14ac:dyDescent="0.2">
      <c r="B371" s="3">
        <v>2009</v>
      </c>
      <c r="C371" s="3">
        <v>1</v>
      </c>
      <c r="D371" s="3">
        <v>1</v>
      </c>
      <c r="E371" s="3">
        <v>11</v>
      </c>
      <c r="F371" s="4" t="s">
        <v>82</v>
      </c>
      <c r="G371" s="26" t="s">
        <v>15</v>
      </c>
      <c r="H371" s="26" t="s">
        <v>115</v>
      </c>
    </row>
    <row r="372" spans="2:8" x14ac:dyDescent="0.2">
      <c r="B372" s="3">
        <v>2009</v>
      </c>
      <c r="C372" s="3">
        <v>1</v>
      </c>
      <c r="D372" s="3">
        <v>1</v>
      </c>
      <c r="E372" s="3">
        <v>12</v>
      </c>
      <c r="F372" s="4" t="s">
        <v>82</v>
      </c>
      <c r="G372" s="26" t="s">
        <v>15</v>
      </c>
      <c r="H372" s="26" t="s">
        <v>115</v>
      </c>
    </row>
    <row r="373" spans="2:8" x14ac:dyDescent="0.2">
      <c r="B373" s="3">
        <v>2009</v>
      </c>
      <c r="C373" s="3">
        <v>1</v>
      </c>
      <c r="D373" s="3">
        <v>1</v>
      </c>
      <c r="E373" s="3">
        <v>13</v>
      </c>
      <c r="F373" s="4" t="s">
        <v>82</v>
      </c>
      <c r="G373" s="26" t="s">
        <v>15</v>
      </c>
      <c r="H373" s="26" t="s">
        <v>115</v>
      </c>
    </row>
    <row r="374" spans="2:8" x14ac:dyDescent="0.2">
      <c r="B374" s="3">
        <v>2009</v>
      </c>
      <c r="C374" s="3">
        <v>1</v>
      </c>
      <c r="D374" s="3">
        <v>1</v>
      </c>
      <c r="E374" s="3">
        <v>14</v>
      </c>
      <c r="F374" s="4" t="s">
        <v>82</v>
      </c>
      <c r="G374" s="26" t="s">
        <v>15</v>
      </c>
      <c r="H374" s="26" t="s">
        <v>115</v>
      </c>
    </row>
    <row r="375" spans="2:8" x14ac:dyDescent="0.2">
      <c r="B375" s="3">
        <v>2009</v>
      </c>
      <c r="C375" s="3">
        <v>1</v>
      </c>
      <c r="D375" s="3">
        <v>1</v>
      </c>
      <c r="E375" s="3">
        <v>15</v>
      </c>
      <c r="F375" s="4" t="s">
        <v>82</v>
      </c>
      <c r="G375" s="26" t="s">
        <v>15</v>
      </c>
      <c r="H375" s="26" t="s">
        <v>115</v>
      </c>
    </row>
    <row r="376" spans="2:8" x14ac:dyDescent="0.2">
      <c r="B376" s="3">
        <v>2009</v>
      </c>
      <c r="C376" s="3">
        <v>1</v>
      </c>
      <c r="D376" s="3">
        <v>1</v>
      </c>
      <c r="E376" s="3">
        <v>16</v>
      </c>
      <c r="F376" s="4" t="s">
        <v>83</v>
      </c>
      <c r="G376" s="5" t="s">
        <v>15</v>
      </c>
      <c r="H376" s="5" t="s">
        <v>115</v>
      </c>
    </row>
    <row r="377" spans="2:8" x14ac:dyDescent="0.2">
      <c r="B377" s="3">
        <v>2009</v>
      </c>
      <c r="C377" s="3">
        <v>1</v>
      </c>
      <c r="D377" s="3">
        <v>1</v>
      </c>
      <c r="E377" s="3">
        <v>17</v>
      </c>
      <c r="F377" s="4" t="s">
        <v>83</v>
      </c>
      <c r="G377" s="5" t="s">
        <v>15</v>
      </c>
      <c r="H377" s="5" t="s">
        <v>115</v>
      </c>
    </row>
    <row r="378" spans="2:8" x14ac:dyDescent="0.2">
      <c r="B378" s="3">
        <v>2009</v>
      </c>
      <c r="C378" s="3">
        <v>1</v>
      </c>
      <c r="D378" s="3">
        <v>1</v>
      </c>
      <c r="E378" s="3">
        <v>18</v>
      </c>
      <c r="F378" s="4" t="s">
        <v>83</v>
      </c>
      <c r="G378" s="5" t="s">
        <v>15</v>
      </c>
      <c r="H378" s="5" t="s">
        <v>115</v>
      </c>
    </row>
    <row r="379" spans="2:8" x14ac:dyDescent="0.2">
      <c r="B379" s="3">
        <v>2009</v>
      </c>
      <c r="C379" s="3">
        <v>1</v>
      </c>
      <c r="D379" s="3">
        <v>1</v>
      </c>
      <c r="E379" s="3">
        <v>19</v>
      </c>
      <c r="F379" s="4" t="s">
        <v>83</v>
      </c>
      <c r="G379" s="5" t="s">
        <v>15</v>
      </c>
      <c r="H379" s="5" t="s">
        <v>115</v>
      </c>
    </row>
    <row r="380" spans="2:8" x14ac:dyDescent="0.2">
      <c r="B380" s="3">
        <v>2009</v>
      </c>
      <c r="C380" s="3">
        <v>1</v>
      </c>
      <c r="D380" s="3">
        <v>1</v>
      </c>
      <c r="E380" s="3">
        <v>20</v>
      </c>
      <c r="F380" s="4" t="s">
        <v>83</v>
      </c>
      <c r="G380" s="5" t="s">
        <v>15</v>
      </c>
      <c r="H380" s="5" t="s">
        <v>115</v>
      </c>
    </row>
    <row r="381" spans="2:8" x14ac:dyDescent="0.2">
      <c r="B381" s="3">
        <v>2009</v>
      </c>
      <c r="C381" s="3">
        <v>1</v>
      </c>
      <c r="D381" s="3">
        <v>2</v>
      </c>
      <c r="E381" s="3">
        <v>1</v>
      </c>
      <c r="F381" s="4" t="s">
        <v>84</v>
      </c>
      <c r="G381" s="5" t="s">
        <v>18</v>
      </c>
      <c r="H381" s="5" t="s">
        <v>114</v>
      </c>
    </row>
    <row r="382" spans="2:8" x14ac:dyDescent="0.2">
      <c r="B382" s="3">
        <v>2009</v>
      </c>
      <c r="C382" s="3">
        <v>1</v>
      </c>
      <c r="D382" s="3">
        <v>2</v>
      </c>
      <c r="E382" s="3">
        <v>2</v>
      </c>
      <c r="F382" s="4" t="s">
        <v>84</v>
      </c>
      <c r="G382" s="5" t="s">
        <v>18</v>
      </c>
      <c r="H382" s="5" t="s">
        <v>114</v>
      </c>
    </row>
    <row r="383" spans="2:8" x14ac:dyDescent="0.2">
      <c r="B383" s="3">
        <v>2009</v>
      </c>
      <c r="C383" s="3">
        <v>1</v>
      </c>
      <c r="D383" s="3">
        <v>2</v>
      </c>
      <c r="E383" s="3">
        <v>3</v>
      </c>
      <c r="F383" s="4" t="s">
        <v>84</v>
      </c>
      <c r="G383" s="5" t="s">
        <v>18</v>
      </c>
      <c r="H383" s="5" t="s">
        <v>114</v>
      </c>
    </row>
    <row r="384" spans="2:8" x14ac:dyDescent="0.2">
      <c r="B384" s="3">
        <v>2009</v>
      </c>
      <c r="C384" s="3">
        <v>1</v>
      </c>
      <c r="D384" s="3">
        <v>2</v>
      </c>
      <c r="E384" s="3">
        <v>4</v>
      </c>
      <c r="F384" s="4" t="s">
        <v>84</v>
      </c>
      <c r="G384" s="5" t="s">
        <v>18</v>
      </c>
      <c r="H384" s="5" t="s">
        <v>114</v>
      </c>
    </row>
    <row r="385" spans="2:8" x14ac:dyDescent="0.2">
      <c r="B385" s="3">
        <v>2009</v>
      </c>
      <c r="C385" s="3">
        <v>1</v>
      </c>
      <c r="D385" s="3">
        <v>2</v>
      </c>
      <c r="E385" s="3">
        <v>5</v>
      </c>
      <c r="F385" s="4" t="s">
        <v>84</v>
      </c>
      <c r="G385" s="5" t="s">
        <v>18</v>
      </c>
      <c r="H385" s="5" t="s">
        <v>114</v>
      </c>
    </row>
    <row r="386" spans="2:8" x14ac:dyDescent="0.2">
      <c r="B386" s="3">
        <v>2009</v>
      </c>
      <c r="C386" s="3">
        <v>1</v>
      </c>
      <c r="D386" s="3">
        <v>2</v>
      </c>
      <c r="E386" s="3">
        <v>6</v>
      </c>
      <c r="F386" s="4" t="s">
        <v>85</v>
      </c>
      <c r="G386" s="5" t="s">
        <v>18</v>
      </c>
      <c r="H386" s="5" t="s">
        <v>114</v>
      </c>
    </row>
    <row r="387" spans="2:8" x14ac:dyDescent="0.2">
      <c r="B387" s="3">
        <v>2009</v>
      </c>
      <c r="C387" s="3">
        <v>1</v>
      </c>
      <c r="D387" s="3">
        <v>2</v>
      </c>
      <c r="E387" s="3">
        <v>7</v>
      </c>
      <c r="F387" s="4" t="s">
        <v>85</v>
      </c>
      <c r="G387" s="5" t="s">
        <v>18</v>
      </c>
      <c r="H387" s="5" t="s">
        <v>114</v>
      </c>
    </row>
    <row r="388" spans="2:8" x14ac:dyDescent="0.2">
      <c r="B388" s="3">
        <v>2009</v>
      </c>
      <c r="C388" s="3">
        <v>1</v>
      </c>
      <c r="D388" s="3">
        <v>2</v>
      </c>
      <c r="E388" s="3">
        <v>8</v>
      </c>
      <c r="F388" s="4" t="s">
        <v>85</v>
      </c>
      <c r="G388" s="5" t="s">
        <v>18</v>
      </c>
      <c r="H388" s="5" t="s">
        <v>114</v>
      </c>
    </row>
    <row r="389" spans="2:8" x14ac:dyDescent="0.2">
      <c r="B389" s="3">
        <v>2009</v>
      </c>
      <c r="C389" s="3">
        <v>1</v>
      </c>
      <c r="D389" s="3">
        <v>2</v>
      </c>
      <c r="E389" s="3">
        <v>9</v>
      </c>
      <c r="F389" s="4" t="s">
        <v>85</v>
      </c>
      <c r="G389" s="5" t="s">
        <v>18</v>
      </c>
      <c r="H389" s="5" t="s">
        <v>114</v>
      </c>
    </row>
    <row r="390" spans="2:8" x14ac:dyDescent="0.2">
      <c r="B390" s="3">
        <v>2009</v>
      </c>
      <c r="C390" s="3">
        <v>1</v>
      </c>
      <c r="D390" s="3">
        <v>2</v>
      </c>
      <c r="E390" s="3">
        <v>10</v>
      </c>
      <c r="F390" s="4" t="s">
        <v>85</v>
      </c>
      <c r="G390" s="5" t="s">
        <v>18</v>
      </c>
      <c r="H390" s="5" t="s">
        <v>114</v>
      </c>
    </row>
    <row r="391" spans="2:8" x14ac:dyDescent="0.2">
      <c r="B391" s="3">
        <v>2009</v>
      </c>
      <c r="C391" s="3">
        <v>1</v>
      </c>
      <c r="D391" s="3">
        <v>2</v>
      </c>
      <c r="E391" s="3">
        <v>11</v>
      </c>
      <c r="F391" s="4" t="s">
        <v>86</v>
      </c>
      <c r="G391" s="15" t="s">
        <v>15</v>
      </c>
      <c r="H391" s="15" t="s">
        <v>116</v>
      </c>
    </row>
    <row r="392" spans="2:8" x14ac:dyDescent="0.2">
      <c r="B392" s="3">
        <v>2009</v>
      </c>
      <c r="C392" s="3">
        <v>1</v>
      </c>
      <c r="D392" s="3">
        <v>2</v>
      </c>
      <c r="E392" s="3">
        <v>12</v>
      </c>
      <c r="F392" s="4" t="s">
        <v>86</v>
      </c>
      <c r="G392" s="15" t="s">
        <v>15</v>
      </c>
      <c r="H392" s="15" t="s">
        <v>116</v>
      </c>
    </row>
    <row r="393" spans="2:8" x14ac:dyDescent="0.2">
      <c r="B393" s="3">
        <v>2009</v>
      </c>
      <c r="C393" s="3">
        <v>1</v>
      </c>
      <c r="D393" s="3">
        <v>2</v>
      </c>
      <c r="E393" s="3">
        <v>13</v>
      </c>
      <c r="F393" s="4" t="s">
        <v>86</v>
      </c>
      <c r="G393" s="15" t="s">
        <v>15</v>
      </c>
      <c r="H393" s="15" t="s">
        <v>116</v>
      </c>
    </row>
    <row r="394" spans="2:8" x14ac:dyDescent="0.2">
      <c r="B394" s="3">
        <v>2009</v>
      </c>
      <c r="C394" s="3">
        <v>1</v>
      </c>
      <c r="D394" s="3">
        <v>2</v>
      </c>
      <c r="E394" s="3">
        <v>14</v>
      </c>
      <c r="F394" s="4" t="s">
        <v>86</v>
      </c>
      <c r="G394" s="15" t="s">
        <v>15</v>
      </c>
      <c r="H394" s="15" t="s">
        <v>116</v>
      </c>
    </row>
    <row r="395" spans="2:8" x14ac:dyDescent="0.2">
      <c r="B395" s="3">
        <v>2009</v>
      </c>
      <c r="C395" s="3">
        <v>1</v>
      </c>
      <c r="D395" s="3">
        <v>2</v>
      </c>
      <c r="E395" s="3">
        <v>15</v>
      </c>
      <c r="F395" s="4" t="s">
        <v>86</v>
      </c>
      <c r="G395" s="15" t="s">
        <v>15</v>
      </c>
      <c r="H395" s="15" t="s">
        <v>116</v>
      </c>
    </row>
    <row r="396" spans="2:8" x14ac:dyDescent="0.2">
      <c r="B396" s="3">
        <v>2009</v>
      </c>
      <c r="C396" s="3">
        <v>1</v>
      </c>
      <c r="D396" s="3">
        <v>2</v>
      </c>
      <c r="E396" s="3">
        <v>16</v>
      </c>
      <c r="F396" s="4" t="s">
        <v>87</v>
      </c>
      <c r="G396" s="15" t="s">
        <v>15</v>
      </c>
      <c r="H396" s="15" t="s">
        <v>116</v>
      </c>
    </row>
    <row r="397" spans="2:8" x14ac:dyDescent="0.2">
      <c r="B397" s="3">
        <v>2009</v>
      </c>
      <c r="C397" s="3">
        <v>1</v>
      </c>
      <c r="D397" s="3">
        <v>2</v>
      </c>
      <c r="E397" s="3">
        <v>17</v>
      </c>
      <c r="F397" s="4" t="s">
        <v>87</v>
      </c>
      <c r="G397" s="15" t="s">
        <v>15</v>
      </c>
      <c r="H397" s="15" t="s">
        <v>116</v>
      </c>
    </row>
    <row r="398" spans="2:8" x14ac:dyDescent="0.2">
      <c r="B398" s="3">
        <v>2009</v>
      </c>
      <c r="C398" s="3">
        <v>1</v>
      </c>
      <c r="D398" s="3">
        <v>2</v>
      </c>
      <c r="E398" s="3">
        <v>18</v>
      </c>
      <c r="F398" s="4" t="s">
        <v>87</v>
      </c>
      <c r="G398" s="15" t="s">
        <v>15</v>
      </c>
      <c r="H398" s="15" t="s">
        <v>116</v>
      </c>
    </row>
    <row r="399" spans="2:8" x14ac:dyDescent="0.2">
      <c r="B399" s="3">
        <v>2009</v>
      </c>
      <c r="C399" s="3">
        <v>1</v>
      </c>
      <c r="D399" s="3">
        <v>2</v>
      </c>
      <c r="E399" s="3">
        <v>19</v>
      </c>
      <c r="F399" s="4" t="s">
        <v>87</v>
      </c>
      <c r="G399" s="15" t="s">
        <v>15</v>
      </c>
      <c r="H399" s="15" t="s">
        <v>116</v>
      </c>
    </row>
    <row r="400" spans="2:8" x14ac:dyDescent="0.2">
      <c r="B400" s="3">
        <v>2009</v>
      </c>
      <c r="C400" s="3">
        <v>1</v>
      </c>
      <c r="D400" s="3">
        <v>2</v>
      </c>
      <c r="E400" s="3">
        <v>20</v>
      </c>
      <c r="F400" s="4" t="s">
        <v>87</v>
      </c>
      <c r="G400" s="15" t="s">
        <v>15</v>
      </c>
      <c r="H400" s="15" t="s">
        <v>116</v>
      </c>
    </row>
    <row r="401" spans="2:8" x14ac:dyDescent="0.2">
      <c r="B401" s="3">
        <v>2009</v>
      </c>
      <c r="C401" s="3">
        <v>1</v>
      </c>
      <c r="D401" s="3">
        <v>2</v>
      </c>
      <c r="E401" s="3">
        <v>21</v>
      </c>
      <c r="F401" s="4" t="s">
        <v>88</v>
      </c>
      <c r="G401" s="5" t="s">
        <v>15</v>
      </c>
      <c r="H401" s="5" t="s">
        <v>116</v>
      </c>
    </row>
    <row r="402" spans="2:8" x14ac:dyDescent="0.2">
      <c r="B402" s="3">
        <v>2009</v>
      </c>
      <c r="C402" s="3">
        <v>1</v>
      </c>
      <c r="D402" s="3">
        <v>2</v>
      </c>
      <c r="E402" s="3">
        <v>22</v>
      </c>
      <c r="F402" s="4" t="s">
        <v>88</v>
      </c>
      <c r="G402" s="5" t="s">
        <v>15</v>
      </c>
      <c r="H402" s="5" t="s">
        <v>116</v>
      </c>
    </row>
    <row r="403" spans="2:8" x14ac:dyDescent="0.2">
      <c r="B403" s="3">
        <v>2009</v>
      </c>
      <c r="C403" s="3">
        <v>1</v>
      </c>
      <c r="D403" s="3">
        <v>2</v>
      </c>
      <c r="E403" s="3">
        <v>23</v>
      </c>
      <c r="F403" s="4" t="s">
        <v>88</v>
      </c>
      <c r="G403" s="5" t="s">
        <v>15</v>
      </c>
      <c r="H403" s="5" t="s">
        <v>116</v>
      </c>
    </row>
    <row r="404" spans="2:8" x14ac:dyDescent="0.2">
      <c r="B404" s="3">
        <v>2009</v>
      </c>
      <c r="C404" s="3">
        <v>1</v>
      </c>
      <c r="D404" s="3">
        <v>2</v>
      </c>
      <c r="E404" s="3">
        <v>24</v>
      </c>
      <c r="F404" s="4" t="s">
        <v>88</v>
      </c>
      <c r="G404" s="5" t="s">
        <v>15</v>
      </c>
      <c r="H404" s="5" t="s">
        <v>116</v>
      </c>
    </row>
    <row r="405" spans="2:8" x14ac:dyDescent="0.2">
      <c r="B405" s="3">
        <v>2009</v>
      </c>
      <c r="C405" s="3">
        <v>1</v>
      </c>
      <c r="D405" s="3">
        <v>2</v>
      </c>
      <c r="E405" s="3">
        <v>25</v>
      </c>
      <c r="F405" s="4" t="s">
        <v>88</v>
      </c>
      <c r="G405" s="5" t="s">
        <v>15</v>
      </c>
      <c r="H405" s="5" t="s">
        <v>116</v>
      </c>
    </row>
    <row r="406" spans="2:8" x14ac:dyDescent="0.2">
      <c r="B406" s="3">
        <v>2009</v>
      </c>
      <c r="C406" s="3">
        <v>2</v>
      </c>
      <c r="D406" s="3">
        <v>2</v>
      </c>
      <c r="E406" s="3">
        <v>1</v>
      </c>
      <c r="F406" s="4" t="s">
        <v>87</v>
      </c>
      <c r="G406" s="15" t="s">
        <v>15</v>
      </c>
      <c r="H406" s="15" t="s">
        <v>116</v>
      </c>
    </row>
    <row r="407" spans="2:8" x14ac:dyDescent="0.2">
      <c r="B407" s="3">
        <v>2009</v>
      </c>
      <c r="C407" s="3">
        <v>2</v>
      </c>
      <c r="D407" s="3">
        <v>2</v>
      </c>
      <c r="E407" s="3">
        <v>2</v>
      </c>
      <c r="F407" s="4" t="s">
        <v>87</v>
      </c>
      <c r="G407" s="15" t="s">
        <v>15</v>
      </c>
      <c r="H407" s="15" t="s">
        <v>116</v>
      </c>
    </row>
    <row r="408" spans="2:8" x14ac:dyDescent="0.2">
      <c r="B408" s="3">
        <v>2009</v>
      </c>
      <c r="C408" s="3">
        <v>2</v>
      </c>
      <c r="D408" s="3">
        <v>2</v>
      </c>
      <c r="E408" s="3">
        <v>3</v>
      </c>
      <c r="F408" s="4" t="s">
        <v>87</v>
      </c>
      <c r="G408" s="15" t="s">
        <v>15</v>
      </c>
      <c r="H408" s="15" t="s">
        <v>116</v>
      </c>
    </row>
    <row r="409" spans="2:8" x14ac:dyDescent="0.2">
      <c r="B409" s="3">
        <v>2009</v>
      </c>
      <c r="C409" s="3">
        <v>2</v>
      </c>
      <c r="D409" s="3">
        <v>2</v>
      </c>
      <c r="E409" s="3">
        <v>4</v>
      </c>
      <c r="F409" s="4" t="s">
        <v>87</v>
      </c>
      <c r="G409" s="15" t="s">
        <v>15</v>
      </c>
      <c r="H409" s="15" t="s">
        <v>116</v>
      </c>
    </row>
    <row r="410" spans="2:8" x14ac:dyDescent="0.2">
      <c r="B410" s="3">
        <v>2009</v>
      </c>
      <c r="C410" s="3">
        <v>2</v>
      </c>
      <c r="D410" s="3">
        <v>2</v>
      </c>
      <c r="E410" s="3">
        <v>5</v>
      </c>
      <c r="F410" s="4" t="s">
        <v>87</v>
      </c>
      <c r="G410" s="15" t="s">
        <v>15</v>
      </c>
      <c r="H410" s="15" t="s">
        <v>116</v>
      </c>
    </row>
    <row r="411" spans="2:8" x14ac:dyDescent="0.2">
      <c r="B411" s="3">
        <v>2009</v>
      </c>
      <c r="C411" s="3">
        <v>2</v>
      </c>
      <c r="D411" s="3">
        <v>2</v>
      </c>
      <c r="E411" s="3">
        <v>6</v>
      </c>
      <c r="F411" s="4" t="s">
        <v>88</v>
      </c>
      <c r="G411" s="5" t="s">
        <v>15</v>
      </c>
      <c r="H411" s="5" t="s">
        <v>116</v>
      </c>
    </row>
    <row r="412" spans="2:8" x14ac:dyDescent="0.2">
      <c r="B412" s="3">
        <v>2009</v>
      </c>
      <c r="C412" s="3">
        <v>2</v>
      </c>
      <c r="D412" s="3">
        <v>2</v>
      </c>
      <c r="E412" s="3">
        <v>7</v>
      </c>
      <c r="F412" s="4" t="s">
        <v>88</v>
      </c>
      <c r="G412" s="5" t="s">
        <v>15</v>
      </c>
      <c r="H412" s="5" t="s">
        <v>116</v>
      </c>
    </row>
    <row r="413" spans="2:8" x14ac:dyDescent="0.2">
      <c r="B413" s="3">
        <v>2009</v>
      </c>
      <c r="C413" s="3">
        <v>2</v>
      </c>
      <c r="D413" s="3">
        <v>2</v>
      </c>
      <c r="E413" s="3">
        <v>8</v>
      </c>
      <c r="F413" s="4" t="s">
        <v>88</v>
      </c>
      <c r="G413" s="5" t="s">
        <v>15</v>
      </c>
      <c r="H413" s="5" t="s">
        <v>116</v>
      </c>
    </row>
    <row r="414" spans="2:8" x14ac:dyDescent="0.2">
      <c r="B414" s="3">
        <v>2009</v>
      </c>
      <c r="C414" s="3">
        <v>2</v>
      </c>
      <c r="D414" s="3">
        <v>2</v>
      </c>
      <c r="E414" s="3">
        <v>9</v>
      </c>
      <c r="F414" s="4" t="s">
        <v>88</v>
      </c>
      <c r="G414" s="5" t="s">
        <v>15</v>
      </c>
      <c r="H414" s="5" t="s">
        <v>116</v>
      </c>
    </row>
    <row r="415" spans="2:8" x14ac:dyDescent="0.2">
      <c r="B415" s="3">
        <v>2009</v>
      </c>
      <c r="C415" s="3">
        <v>2</v>
      </c>
      <c r="D415" s="3">
        <v>2</v>
      </c>
      <c r="E415" s="3">
        <v>10</v>
      </c>
      <c r="F415" s="4" t="s">
        <v>88</v>
      </c>
      <c r="G415" s="5" t="s">
        <v>15</v>
      </c>
      <c r="H415" s="5" t="s">
        <v>116</v>
      </c>
    </row>
    <row r="416" spans="2:8" x14ac:dyDescent="0.2">
      <c r="B416" s="3">
        <v>2009</v>
      </c>
      <c r="C416" s="3">
        <v>2</v>
      </c>
      <c r="D416" s="3">
        <v>2</v>
      </c>
      <c r="E416" s="3">
        <v>11</v>
      </c>
      <c r="F416" s="4" t="s">
        <v>89</v>
      </c>
      <c r="G416" s="15" t="s">
        <v>15</v>
      </c>
      <c r="H416" s="15" t="s">
        <v>116</v>
      </c>
    </row>
    <row r="417" spans="2:8" x14ac:dyDescent="0.2">
      <c r="B417" s="3">
        <v>2009</v>
      </c>
      <c r="C417" s="3">
        <v>2</v>
      </c>
      <c r="D417" s="3">
        <v>2</v>
      </c>
      <c r="E417" s="3">
        <v>12</v>
      </c>
      <c r="F417" s="4" t="s">
        <v>89</v>
      </c>
      <c r="G417" s="15" t="s">
        <v>15</v>
      </c>
      <c r="H417" s="15" t="s">
        <v>116</v>
      </c>
    </row>
    <row r="418" spans="2:8" x14ac:dyDescent="0.2">
      <c r="B418" s="3">
        <v>2009</v>
      </c>
      <c r="C418" s="3">
        <v>2</v>
      </c>
      <c r="D418" s="3">
        <v>2</v>
      </c>
      <c r="E418" s="3">
        <v>13</v>
      </c>
      <c r="F418" s="4" t="s">
        <v>89</v>
      </c>
      <c r="G418" s="15" t="s">
        <v>15</v>
      </c>
      <c r="H418" s="15" t="s">
        <v>116</v>
      </c>
    </row>
    <row r="419" spans="2:8" x14ac:dyDescent="0.2">
      <c r="B419" s="3">
        <v>2009</v>
      </c>
      <c r="C419" s="3">
        <v>2</v>
      </c>
      <c r="D419" s="3">
        <v>2</v>
      </c>
      <c r="E419" s="3">
        <v>14</v>
      </c>
      <c r="F419" s="4" t="s">
        <v>89</v>
      </c>
      <c r="G419" s="15" t="s">
        <v>15</v>
      </c>
      <c r="H419" s="15" t="s">
        <v>116</v>
      </c>
    </row>
    <row r="420" spans="2:8" x14ac:dyDescent="0.2">
      <c r="B420" s="3">
        <v>2009</v>
      </c>
      <c r="C420" s="3">
        <v>2</v>
      </c>
      <c r="D420" s="3">
        <v>2</v>
      </c>
      <c r="E420" s="3">
        <v>15</v>
      </c>
      <c r="F420" s="4" t="s">
        <v>89</v>
      </c>
      <c r="G420" s="15" t="s">
        <v>15</v>
      </c>
      <c r="H420" s="15" t="s">
        <v>116</v>
      </c>
    </row>
    <row r="421" spans="2:8" x14ac:dyDescent="0.2">
      <c r="B421" s="3">
        <v>2009</v>
      </c>
      <c r="C421" s="3">
        <v>2</v>
      </c>
      <c r="D421" s="3">
        <v>2</v>
      </c>
      <c r="E421" s="3">
        <v>16</v>
      </c>
      <c r="F421" s="4" t="s">
        <v>90</v>
      </c>
      <c r="G421" s="5" t="s">
        <v>15</v>
      </c>
      <c r="H421" s="5" t="s">
        <v>116</v>
      </c>
    </row>
    <row r="422" spans="2:8" x14ac:dyDescent="0.2">
      <c r="B422" s="3">
        <v>2009</v>
      </c>
      <c r="C422" s="3">
        <v>2</v>
      </c>
      <c r="D422" s="3">
        <v>2</v>
      </c>
      <c r="E422" s="3">
        <v>17</v>
      </c>
      <c r="F422" s="4" t="s">
        <v>90</v>
      </c>
      <c r="G422" s="5" t="s">
        <v>15</v>
      </c>
      <c r="H422" s="5" t="s">
        <v>116</v>
      </c>
    </row>
    <row r="423" spans="2:8" x14ac:dyDescent="0.2">
      <c r="B423" s="3">
        <v>2009</v>
      </c>
      <c r="C423" s="3">
        <v>2</v>
      </c>
      <c r="D423" s="3">
        <v>2</v>
      </c>
      <c r="E423" s="3">
        <v>18</v>
      </c>
      <c r="F423" s="4" t="s">
        <v>90</v>
      </c>
      <c r="G423" s="5" t="s">
        <v>15</v>
      </c>
      <c r="H423" s="5" t="s">
        <v>116</v>
      </c>
    </row>
    <row r="424" spans="2:8" x14ac:dyDescent="0.2">
      <c r="B424" s="3">
        <v>2009</v>
      </c>
      <c r="C424" s="3">
        <v>2</v>
      </c>
      <c r="D424" s="3">
        <v>2</v>
      </c>
      <c r="E424" s="3">
        <v>19</v>
      </c>
      <c r="F424" s="4" t="s">
        <v>90</v>
      </c>
      <c r="G424" s="5" t="s">
        <v>15</v>
      </c>
      <c r="H424" s="5" t="s">
        <v>116</v>
      </c>
    </row>
    <row r="425" spans="2:8" x14ac:dyDescent="0.2">
      <c r="B425" s="3">
        <v>2009</v>
      </c>
      <c r="C425" s="3">
        <v>2</v>
      </c>
      <c r="D425" s="3">
        <v>2</v>
      </c>
      <c r="E425" s="3">
        <v>20</v>
      </c>
      <c r="F425" s="4" t="s">
        <v>90</v>
      </c>
      <c r="G425" s="5" t="s">
        <v>15</v>
      </c>
      <c r="H425" s="5" t="s">
        <v>116</v>
      </c>
    </row>
    <row r="426" spans="2:8" x14ac:dyDescent="0.2">
      <c r="B426" s="3">
        <v>2009</v>
      </c>
      <c r="C426" s="3">
        <v>2</v>
      </c>
      <c r="D426" s="3">
        <v>2</v>
      </c>
      <c r="E426" s="3">
        <v>21</v>
      </c>
      <c r="F426" s="4" t="s">
        <v>91</v>
      </c>
      <c r="G426" s="5" t="s">
        <v>18</v>
      </c>
      <c r="H426" s="5" t="s">
        <v>114</v>
      </c>
    </row>
    <row r="427" spans="2:8" x14ac:dyDescent="0.2">
      <c r="B427" s="3">
        <v>2009</v>
      </c>
      <c r="C427" s="3">
        <v>2</v>
      </c>
      <c r="D427" s="3">
        <v>2</v>
      </c>
      <c r="E427" s="3">
        <v>22</v>
      </c>
      <c r="F427" s="4" t="s">
        <v>91</v>
      </c>
      <c r="G427" s="5" t="s">
        <v>18</v>
      </c>
      <c r="H427" s="5" t="s">
        <v>114</v>
      </c>
    </row>
    <row r="428" spans="2:8" x14ac:dyDescent="0.2">
      <c r="B428" s="3">
        <v>2009</v>
      </c>
      <c r="C428" s="3">
        <v>2</v>
      </c>
      <c r="D428" s="3">
        <v>2</v>
      </c>
      <c r="E428" s="3">
        <v>23</v>
      </c>
      <c r="F428" s="4" t="s">
        <v>91</v>
      </c>
      <c r="G428" s="5" t="s">
        <v>18</v>
      </c>
      <c r="H428" s="5" t="s">
        <v>114</v>
      </c>
    </row>
    <row r="429" spans="2:8" x14ac:dyDescent="0.2">
      <c r="B429" s="3">
        <v>2009</v>
      </c>
      <c r="C429" s="3">
        <v>2</v>
      </c>
      <c r="D429" s="3">
        <v>2</v>
      </c>
      <c r="E429" s="3">
        <v>24</v>
      </c>
      <c r="F429" s="4" t="s">
        <v>91</v>
      </c>
      <c r="G429" s="5" t="s">
        <v>18</v>
      </c>
      <c r="H429" s="5" t="s">
        <v>114</v>
      </c>
    </row>
    <row r="430" spans="2:8" x14ac:dyDescent="0.2">
      <c r="B430" s="3">
        <v>2009</v>
      </c>
      <c r="C430" s="3">
        <v>2</v>
      </c>
      <c r="D430" s="3">
        <v>2</v>
      </c>
      <c r="E430" s="3">
        <v>25</v>
      </c>
      <c r="F430" s="4" t="s">
        <v>91</v>
      </c>
      <c r="G430" s="5" t="s">
        <v>18</v>
      </c>
      <c r="H430" s="5" t="s">
        <v>114</v>
      </c>
    </row>
    <row r="431" spans="2:8" x14ac:dyDescent="0.2">
      <c r="B431" s="3">
        <v>2009</v>
      </c>
      <c r="C431" s="3">
        <v>2</v>
      </c>
      <c r="D431" s="3">
        <v>1</v>
      </c>
      <c r="E431" s="3">
        <v>1</v>
      </c>
      <c r="F431" s="4" t="s">
        <v>92</v>
      </c>
      <c r="G431" s="5" t="s">
        <v>18</v>
      </c>
      <c r="H431" s="5" t="s">
        <v>114</v>
      </c>
    </row>
    <row r="432" spans="2:8" x14ac:dyDescent="0.2">
      <c r="B432" s="3">
        <v>2009</v>
      </c>
      <c r="C432" s="3">
        <v>2</v>
      </c>
      <c r="D432" s="3">
        <v>1</v>
      </c>
      <c r="E432" s="3">
        <v>2</v>
      </c>
      <c r="F432" s="4" t="s">
        <v>92</v>
      </c>
      <c r="G432" s="5" t="s">
        <v>18</v>
      </c>
      <c r="H432" s="5" t="s">
        <v>114</v>
      </c>
    </row>
    <row r="433" spans="2:8" x14ac:dyDescent="0.2">
      <c r="B433" s="3">
        <v>2009</v>
      </c>
      <c r="C433" s="3">
        <v>2</v>
      </c>
      <c r="D433" s="3">
        <v>1</v>
      </c>
      <c r="E433" s="3">
        <v>3</v>
      </c>
      <c r="F433" s="4" t="s">
        <v>92</v>
      </c>
      <c r="G433" s="5" t="s">
        <v>18</v>
      </c>
      <c r="H433" s="5" t="s">
        <v>114</v>
      </c>
    </row>
    <row r="434" spans="2:8" x14ac:dyDescent="0.2">
      <c r="B434" s="3">
        <v>2009</v>
      </c>
      <c r="C434" s="3">
        <v>2</v>
      </c>
      <c r="D434" s="3">
        <v>1</v>
      </c>
      <c r="E434" s="3">
        <v>4</v>
      </c>
      <c r="F434" s="4" t="s">
        <v>92</v>
      </c>
      <c r="G434" s="5" t="s">
        <v>18</v>
      </c>
      <c r="H434" s="5" t="s">
        <v>114</v>
      </c>
    </row>
    <row r="435" spans="2:8" x14ac:dyDescent="0.2">
      <c r="B435" s="3">
        <v>2009</v>
      </c>
      <c r="C435" s="3">
        <v>2</v>
      </c>
      <c r="D435" s="3">
        <v>1</v>
      </c>
      <c r="E435" s="3">
        <v>5</v>
      </c>
      <c r="F435" s="4" t="s">
        <v>92</v>
      </c>
      <c r="G435" s="5" t="s">
        <v>18</v>
      </c>
      <c r="H435" s="5" t="s">
        <v>114</v>
      </c>
    </row>
    <row r="436" spans="2:8" x14ac:dyDescent="0.2">
      <c r="B436" s="3">
        <v>2009</v>
      </c>
      <c r="C436" s="3">
        <v>2</v>
      </c>
      <c r="D436" s="3">
        <v>1</v>
      </c>
      <c r="E436" s="3">
        <v>6</v>
      </c>
      <c r="F436" s="4" t="s">
        <v>93</v>
      </c>
      <c r="G436" s="5" t="s">
        <v>15</v>
      </c>
      <c r="H436" s="5" t="s">
        <v>115</v>
      </c>
    </row>
    <row r="437" spans="2:8" x14ac:dyDescent="0.2">
      <c r="B437" s="3">
        <v>2009</v>
      </c>
      <c r="C437" s="3">
        <v>2</v>
      </c>
      <c r="D437" s="3">
        <v>1</v>
      </c>
      <c r="E437" s="3">
        <v>7</v>
      </c>
      <c r="F437" s="4" t="s">
        <v>93</v>
      </c>
      <c r="G437" s="5" t="s">
        <v>15</v>
      </c>
      <c r="H437" s="5" t="s">
        <v>115</v>
      </c>
    </row>
    <row r="438" spans="2:8" x14ac:dyDescent="0.2">
      <c r="B438" s="3">
        <v>2009</v>
      </c>
      <c r="C438" s="3">
        <v>2</v>
      </c>
      <c r="D438" s="3">
        <v>1</v>
      </c>
      <c r="E438" s="3">
        <v>8</v>
      </c>
      <c r="F438" s="4" t="s">
        <v>93</v>
      </c>
      <c r="G438" s="5" t="s">
        <v>15</v>
      </c>
      <c r="H438" s="5" t="s">
        <v>115</v>
      </c>
    </row>
    <row r="439" spans="2:8" x14ac:dyDescent="0.2">
      <c r="B439" s="3">
        <v>2009</v>
      </c>
      <c r="C439" s="3">
        <v>2</v>
      </c>
      <c r="D439" s="3">
        <v>1</v>
      </c>
      <c r="E439" s="3">
        <v>9</v>
      </c>
      <c r="F439" s="4" t="s">
        <v>93</v>
      </c>
      <c r="G439" s="5" t="s">
        <v>15</v>
      </c>
      <c r="H439" s="5" t="s">
        <v>115</v>
      </c>
    </row>
    <row r="440" spans="2:8" x14ac:dyDescent="0.2">
      <c r="B440" s="3">
        <v>2009</v>
      </c>
      <c r="C440" s="3">
        <v>2</v>
      </c>
      <c r="D440" s="3">
        <v>1</v>
      </c>
      <c r="E440" s="3">
        <v>10</v>
      </c>
      <c r="F440" s="4" t="s">
        <v>93</v>
      </c>
      <c r="G440" s="5" t="s">
        <v>15</v>
      </c>
      <c r="H440" s="5" t="s">
        <v>115</v>
      </c>
    </row>
    <row r="441" spans="2:8" x14ac:dyDescent="0.2">
      <c r="B441" s="3">
        <v>2009</v>
      </c>
      <c r="C441" s="3">
        <v>2</v>
      </c>
      <c r="D441" s="3">
        <v>1</v>
      </c>
      <c r="E441" s="3">
        <v>11</v>
      </c>
      <c r="F441" s="4" t="s">
        <v>94</v>
      </c>
      <c r="G441" s="5" t="s">
        <v>15</v>
      </c>
      <c r="H441" s="5" t="s">
        <v>116</v>
      </c>
    </row>
    <row r="442" spans="2:8" x14ac:dyDescent="0.2">
      <c r="B442" s="3">
        <v>2009</v>
      </c>
      <c r="C442" s="3">
        <v>2</v>
      </c>
      <c r="D442" s="3">
        <v>1</v>
      </c>
      <c r="E442" s="3">
        <v>12</v>
      </c>
      <c r="F442" s="4" t="s">
        <v>94</v>
      </c>
      <c r="G442" s="5" t="s">
        <v>15</v>
      </c>
      <c r="H442" s="5" t="s">
        <v>116</v>
      </c>
    </row>
    <row r="443" spans="2:8" x14ac:dyDescent="0.2">
      <c r="B443" s="3">
        <v>2009</v>
      </c>
      <c r="C443" s="3">
        <v>2</v>
      </c>
      <c r="D443" s="3">
        <v>1</v>
      </c>
      <c r="E443" s="3">
        <v>13</v>
      </c>
      <c r="F443" s="4" t="s">
        <v>94</v>
      </c>
      <c r="G443" s="5" t="s">
        <v>15</v>
      </c>
      <c r="H443" s="5" t="s">
        <v>116</v>
      </c>
    </row>
    <row r="444" spans="2:8" x14ac:dyDescent="0.2">
      <c r="B444" s="3">
        <v>2009</v>
      </c>
      <c r="C444" s="3">
        <v>2</v>
      </c>
      <c r="D444" s="3">
        <v>1</v>
      </c>
      <c r="E444" s="3">
        <v>14</v>
      </c>
      <c r="F444" s="4" t="s">
        <v>94</v>
      </c>
      <c r="G444" s="5" t="s">
        <v>15</v>
      </c>
      <c r="H444" s="5" t="s">
        <v>116</v>
      </c>
    </row>
    <row r="445" spans="2:8" x14ac:dyDescent="0.2">
      <c r="B445" s="3">
        <v>2009</v>
      </c>
      <c r="C445" s="3">
        <v>2</v>
      </c>
      <c r="D445" s="3">
        <v>1</v>
      </c>
      <c r="E445" s="3">
        <v>15</v>
      </c>
      <c r="F445" s="4" t="s">
        <v>94</v>
      </c>
      <c r="G445" s="5" t="s">
        <v>15</v>
      </c>
      <c r="H445" s="5" t="s">
        <v>116</v>
      </c>
    </row>
    <row r="446" spans="2:8" x14ac:dyDescent="0.2">
      <c r="B446" s="3">
        <v>2009</v>
      </c>
      <c r="C446" s="3">
        <v>2</v>
      </c>
      <c r="D446" s="3">
        <v>1</v>
      </c>
      <c r="E446" s="3">
        <v>16</v>
      </c>
      <c r="F446" s="4" t="s">
        <v>95</v>
      </c>
      <c r="G446" s="5" t="s">
        <v>15</v>
      </c>
      <c r="H446" s="5" t="s">
        <v>116</v>
      </c>
    </row>
    <row r="447" spans="2:8" x14ac:dyDescent="0.2">
      <c r="B447" s="3">
        <v>2009</v>
      </c>
      <c r="C447" s="3">
        <v>2</v>
      </c>
      <c r="D447" s="3">
        <v>1</v>
      </c>
      <c r="E447" s="3">
        <v>17</v>
      </c>
      <c r="F447" s="4" t="s">
        <v>95</v>
      </c>
      <c r="G447" s="5" t="s">
        <v>15</v>
      </c>
      <c r="H447" s="5" t="s">
        <v>116</v>
      </c>
    </row>
    <row r="448" spans="2:8" x14ac:dyDescent="0.2">
      <c r="B448" s="3">
        <v>2009</v>
      </c>
      <c r="C448" s="3">
        <v>2</v>
      </c>
      <c r="D448" s="3">
        <v>1</v>
      </c>
      <c r="E448" s="3">
        <v>18</v>
      </c>
      <c r="F448" s="4" t="s">
        <v>95</v>
      </c>
      <c r="G448" s="5" t="s">
        <v>15</v>
      </c>
      <c r="H448" s="5" t="s">
        <v>116</v>
      </c>
    </row>
    <row r="449" spans="2:8" x14ac:dyDescent="0.2">
      <c r="B449" s="3">
        <v>2009</v>
      </c>
      <c r="C449" s="3">
        <v>2</v>
      </c>
      <c r="D449" s="3">
        <v>1</v>
      </c>
      <c r="E449" s="3">
        <v>19</v>
      </c>
      <c r="F449" s="4" t="s">
        <v>95</v>
      </c>
      <c r="G449" s="5" t="s">
        <v>15</v>
      </c>
      <c r="H449" s="5" t="s">
        <v>116</v>
      </c>
    </row>
    <row r="450" spans="2:8" x14ac:dyDescent="0.2">
      <c r="B450" s="3">
        <v>2009</v>
      </c>
      <c r="C450" s="3">
        <v>2</v>
      </c>
      <c r="D450" s="3">
        <v>1</v>
      </c>
      <c r="E450" s="3">
        <v>20</v>
      </c>
      <c r="F450" s="4" t="s">
        <v>95</v>
      </c>
      <c r="G450" s="5" t="s">
        <v>15</v>
      </c>
      <c r="H450" s="5" t="s">
        <v>116</v>
      </c>
    </row>
  </sheetData>
  <autoFilter ref="B1:H450" xr:uid="{00000000-0009-0000-0000-000002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Zero-Shot Classe</vt:lpstr>
      <vt:lpstr>Zero-Shot Classe-Tipo</vt:lpstr>
      <vt:lpstr>One-Shot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i5</cp:lastModifiedBy>
  <dcterms:modified xsi:type="dcterms:W3CDTF">2025-06-21T03:30:09Z</dcterms:modified>
</cp:coreProperties>
</file>